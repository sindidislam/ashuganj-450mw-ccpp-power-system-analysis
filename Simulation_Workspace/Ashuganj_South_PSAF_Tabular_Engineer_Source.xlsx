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e7e9c456b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OURCES" sheetId="1" r:id="Rf9d505f02cbf4f7e"/>
    <x:sheet xmlns:r="http://schemas.openxmlformats.org/officeDocument/2006/relationships" name="00_README" sheetId="2" r:id="Re3daa7a0237f4efc"/>
    <x:sheet xmlns:r="http://schemas.openxmlformats.org/officeDocument/2006/relationships" name="02_BUS_PSAF" sheetId="3" r:id="Rf3e636d5cbb24c2a"/>
    <x:sheet xmlns:r="http://schemas.openxmlformats.org/officeDocument/2006/relationships" name="03_GENERATOR_PSAF" sheetId="4" r:id="R781edec0025743aa"/>
    <x:sheet xmlns:r="http://schemas.openxmlformats.org/officeDocument/2006/relationships" name="04_GEN_Q_CAPABILITY" sheetId="5" r:id="R1817ddcf90f1410d"/>
    <x:sheet xmlns:r="http://schemas.openxmlformats.org/officeDocument/2006/relationships" name="05_TRANSFORMERS_PSAF" sheetId="6" r:id="Rf4bd2486b90749d2"/>
    <x:sheet xmlns:r="http://schemas.openxmlformats.org/officeDocument/2006/relationships" name="06_AUX_TRANSFORMERS" sheetId="7" r:id="Rb1225ca316944890"/>
    <x:sheet xmlns:r="http://schemas.openxmlformats.org/officeDocument/2006/relationships" name="07_LINES_CABLES_PSAF" sheetId="8" r:id="R54089d6cb98e4173"/>
    <x:sheet xmlns:r="http://schemas.openxmlformats.org/officeDocument/2006/relationships" name="08_LOADS_PSAF" sheetId="9" r:id="R442b5d1a03ba4557"/>
    <x:sheet xmlns:r="http://schemas.openxmlformats.org/officeDocument/2006/relationships" name="09_MOTORS_PSAF" sheetId="10" r:id="R769dc06fdd784022"/>
    <x:sheet xmlns:r="http://schemas.openxmlformats.org/officeDocument/2006/relationships" name="10_EXTERNAL_GRID" sheetId="11" r:id="Rb77b0eaba44747ad"/>
    <x:sheet xmlns:r="http://schemas.openxmlformats.org/officeDocument/2006/relationships" name="11_NOMINAL_VS_RATED" sheetId="12" r:id="R3cb2e7adeb494575"/>
    <x:sheet xmlns:r="http://schemas.openxmlformats.org/officeDocument/2006/relationships" name="12_PSAF_BUS_FIELD_GUIDE" sheetId="13" r:id="R036ca58a21f24518"/>
    <x:sheet xmlns:r="http://schemas.openxmlformats.org/officeDocument/2006/relationships" name="13_VALIDATION_NOTES" sheetId="14" r:id="R47028b5207f3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ace2810e34cca" /><Relationship Type="http://schemas.openxmlformats.org/officeDocument/2006/relationships/theme" Target="/xl/theme/theme1.xml" Id="R6803d00eb0c44863" /><Relationship Type="http://schemas.microsoft.com/office/2022/11/relationships/FeaturePropertyBag" Target="/xl/featurePropertyBag/featurePropertyBag.xml" Id="R0482c8671ec6430a" /><Relationship Type="http://schemas.openxmlformats.org/officeDocument/2006/relationships/sharedStrings" Target="/xl/sharedStrings.xml" Id="Re3f3104d67484a01" /><Relationship Type="http://schemas.openxmlformats.org/officeDocument/2006/relationships/worksheet" Target="/xl/worksheets/sheet1.xml" Id="Rf9d505f02cbf4f7e" /><Relationship Type="http://schemas.openxmlformats.org/officeDocument/2006/relationships/worksheet" Target="/xl/worksheets/sheet2.xml" Id="Re3daa7a0237f4efc" /><Relationship Type="http://schemas.openxmlformats.org/officeDocument/2006/relationships/worksheet" Target="/xl/worksheets/sheet3.xml" Id="Rf3e636d5cbb24c2a" /><Relationship Type="http://schemas.openxmlformats.org/officeDocument/2006/relationships/worksheet" Target="/xl/worksheets/sheet4.xml" Id="R781edec0025743aa" /><Relationship Type="http://schemas.openxmlformats.org/officeDocument/2006/relationships/worksheet" Target="/xl/worksheets/sheet5.xml" Id="R1817ddcf90f1410d" /><Relationship Type="http://schemas.openxmlformats.org/officeDocument/2006/relationships/worksheet" Target="/xl/worksheets/sheet6.xml" Id="Rf4bd2486b90749d2" /><Relationship Type="http://schemas.openxmlformats.org/officeDocument/2006/relationships/worksheet" Target="/xl/worksheets/sheet7.xml" Id="Rb1225ca316944890" /><Relationship Type="http://schemas.openxmlformats.org/officeDocument/2006/relationships/worksheet" Target="/xl/worksheets/sheet8.xml" Id="R54089d6cb98e4173" /><Relationship Type="http://schemas.openxmlformats.org/officeDocument/2006/relationships/worksheet" Target="/xl/worksheets/sheet9.xml" Id="R442b5d1a03ba4557" /><Relationship Type="http://schemas.openxmlformats.org/officeDocument/2006/relationships/worksheet" Target="/xl/worksheets/sheet10.xml" Id="R769dc06fdd784022" /><Relationship Type="http://schemas.openxmlformats.org/officeDocument/2006/relationships/worksheet" Target="/xl/worksheets/sheet11.xml" Id="Rb77b0eaba44747ad" /><Relationship Type="http://schemas.openxmlformats.org/officeDocument/2006/relationships/worksheet" Target="/xl/worksheets/sheet12.xml" Id="R3cb2e7adeb494575" /><Relationship Type="http://schemas.openxmlformats.org/officeDocument/2006/relationships/worksheet" Target="/xl/worksheets/sheet13.xml" Id="R036ca58a21f24518" /><Relationship Type="http://schemas.openxmlformats.org/officeDocument/2006/relationships/worksheet" Target="/xl/worksheets/sheet14.xml" Id="R47028b5207f341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</x:cols>
  <x:sheetData>
    <x:row r="1" ht="24" customHeight="1">
      <x:c r="A1" s="5" t="str">
        <x:v>Engineer Source Register</x:v>
      </x:c>
    </x:row>
    <x:row r="3" ht="36" customHeight="1">
      <x:c r="A3" s="22" t="str">
        <x:v>Source ID</x:v>
      </x:c>
      <x:c r="B3" s="22" t="str">
        <x:v>File</x:v>
      </x:c>
      <x:c r="C3" s="22" t="str">
        <x:v>Content used</x:v>
      </x:c>
      <x:c r="D3" s="22" t="str">
        <x:v>Page(s)</x:v>
      </x:c>
      <x:c r="E3" s="22" t="str">
        <x:v>Evidence type</x:v>
      </x:c>
    </x:row>
    <x:row r="4">
      <x:c r="A4" s="23" t="str">
        <x:v>S1</x:v>
      </x:c>
      <x:c r="B4" s="23" t="str">
        <x:v>INEL-112070-00-ELC-DE-0001-REV3.pdf</x:v>
      </x:c>
      <x:c r="C4" s="23" t="str">
        <x:v>Main Electrical System One Line Diagram</x:v>
      </x:c>
      <x:c r="D4" s="23" t="str">
        <x:v>p.1 cover/index; p.2 one-line</x:v>
      </x:c>
      <x:c r="E4" s="23" t="str">
        <x:v>Engineer-supplied</x:v>
      </x:c>
    </x:row>
    <x:row r="5">
      <x:c r="A5" s="23" t="str">
        <x:v>S2</x:v>
      </x:c>
      <x:c r="B5" s="23" t="str">
        <x:v>GENERATION AND TRANSFORMERS SYSTEM(1).pdf</x:v>
      </x:c>
      <x:c r="C5" s="23" t="str">
        <x:v>Generation &amp; Transformers System / protection and measurement one-line</x:v>
      </x:c>
      <x:c r="D5" s="23" t="str">
        <x:v>p.1 cover/index; p.2–3</x:v>
      </x:c>
      <x:c r="E5" s="23" t="str">
        <x:v>Engineer-supplied</x:v>
      </x:c>
    </x:row>
    <x:row r="6">
      <x:c r="A6" s="23" t="str">
        <x:v>S3</x:v>
      </x:c>
      <x:c r="B6" s="23" t="str">
        <x:v>Generator Data_South(1).pdf</x:v>
      </x:c>
      <x:c r="C6" s="23" t="str">
        <x:v>Generator technical data</x:v>
      </x:c>
      <x:c r="D6" s="23" t="str">
        <x:v>p.1–4</x:v>
      </x:c>
      <x:c r="E6" s="23" t="str">
        <x:v>Engineer-supplied</x:v>
      </x:c>
    </x:row>
    <x:row r="7">
      <x:c r="A7" s="23" t="str">
        <x:v>S4</x:v>
      </x:c>
      <x:c r="B7" s="23" t="str">
        <x:v>Generator Name Plate_South.pdf</x:v>
      </x:c>
      <x:c r="C7" s="23" t="str">
        <x:v>Siemens generator rating plate</x:v>
      </x:c>
      <x:c r="D7" s="23" t="str">
        <x:v>p.2</x:v>
      </x:c>
      <x:c r="E7" s="23" t="str">
        <x:v>Engineer-supplied</x:v>
      </x:c>
    </x:row>
    <x:row r="8">
      <x:c r="A8" s="23" t="str">
        <x:v>S5</x:v>
      </x:c>
      <x:c r="B8" s="23" t="str">
        <x:v>GSUT Data Sheet_South.pdf</x:v>
      </x:c>
      <x:c r="C8" s="23" t="str">
        <x:v>GSUT technical datasheet</x:v>
      </x:c>
      <x:c r="D8" s="23" t="str">
        <x:v>p.3–7</x:v>
      </x:c>
      <x:c r="E8" s="23" t="str">
        <x:v>Engineer-supplied</x:v>
      </x:c>
    </x:row>
    <x:row r="9">
      <x:c r="A9" s="23" t="str">
        <x:v>S6</x:v>
      </x:c>
      <x:c r="B9" s="23" t="str">
        <x:v>GSUT Nameplate_South.pdf</x:v>
      </x:c>
      <x:c r="C9" s="23" t="str">
        <x:v>GSUT rating plate</x:v>
      </x:c>
      <x:c r="D9" s="23" t="str">
        <x:v>p.3</x:v>
      </x:c>
      <x:c r="E9" s="23" t="str">
        <x:v>Engineer-supplied</x:v>
      </x:c>
    </x:row>
    <x:row r="10">
      <x:c r="A10" s="23" t="str">
        <x:v>S7</x:v>
      </x:c>
      <x:c r="B10" s="23" t="str">
        <x:v>UAT  Data Sheet_South(1).pdf</x:v>
      </x:c>
      <x:c r="C10" s="23" t="str">
        <x:v>UAT/GAT technical datasheet</x:v>
      </x:c>
      <x:c r="D10" s="23" t="str">
        <x:v>p.4–24</x:v>
      </x:c>
      <x:c r="E10" s="23" t="str">
        <x:v>Engineer-supplied</x:v>
      </x:c>
    </x:row>
    <x:row r="11">
      <x:c r="A11" s="23" t="str">
        <x:v>S8</x:v>
      </x:c>
      <x:c r="B11" s="23" t="str">
        <x:v>UAT Nameplate_South(1).pdf</x:v>
      </x:c>
      <x:c r="C11" s="23" t="str">
        <x:v>UAT/GAT rating plate</x:v>
      </x:c>
      <x:c r="D11" s="23" t="str">
        <x:v>p.3–4</x:v>
      </x:c>
      <x:c r="E11" s="23" t="str">
        <x:v>Engineer-supplied</x:v>
      </x:c>
    </x:row>
    <x:row r="12">
      <x:c r="A12" s="23" t="str">
        <x:v>S9</x:v>
      </x:c>
      <x:c r="B12" s="23" t="str">
        <x:v>Google Sheet Form_Filled Up By APSCL.pdf</x:v>
      </x:c>
      <x:c r="C12" s="23" t="str">
        <x:v>APSCL-filled data form</x:v>
      </x:c>
      <x:c r="D12" s="23" t="str">
        <x:v>p.2–4</x:v>
      </x:c>
      <x:c r="E12" s="23" t="str">
        <x:v>Engineer-supplied</x:v>
      </x:c>
    </x:row>
    <x:row r="13">
      <x:c r="A13" s="23" t="str">
        <x:v>S10</x:v>
      </x:c>
      <x:c r="B13" s="23" t="str">
        <x:v>S001-112070-00-ELC-CL-0002.pdf</x:v>
      </x:c>
      <x:c r="C13" s="23" t="str">
        <x:v>Generator Protection Setting Report</x:v>
      </x:c>
      <x:c r="D13" s="23" t="str">
        <x:v>p.6–7; Attachment 1</x:v>
      </x:c>
      <x:c r="E13" s="23" t="str">
        <x:v>Engineer-supplied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 ht="24" customHeight="1">
      <x:c r="A1" s="5" t="str">
        <x:v>Ashuganj South — PSAF Data Rules</x:v>
      </x:c>
    </x:row>
    <x:row r="3" ht="36" customHeight="1">
      <x:c r="A3" s="22" t="str">
        <x:v>Topic</x:v>
      </x:c>
      <x:c r="B3" s="22" t="str">
        <x:v>Instruction</x:v>
      </x:c>
    </x:row>
    <x:row r="4">
      <x:c r="A4" s="23" t="str">
        <x:v>Basis</x:v>
      </x:c>
      <x:c r="B4" s="23" t="str">
        <x:v>Only engineer/plant-supplied PDFs in this conversation. No web/secondary data used.</x:v>
      </x:c>
    </x:row>
    <x:row r="5">
      <x:c r="A5" s="23" t="str">
        <x:v>ID vs Extra ID</x:v>
      </x:c>
      <x:c r="B5" s="23" t="str">
        <x:v>ID is PSAF/internal. Extra ID carries the exact SLD bus/electrical-node name where available. Equipment tags such as 10BAT10/10BBT10/10BBT20 belong in equipment tables.</x:v>
      </x:c>
    </x:row>
    <x:row r="6">
      <x:c r="A6" s="23" t="str">
        <x:v>Volt Sol / Angle Sol</x:v>
      </x:c>
      <x:c r="B6" s="23" t="str">
        <x:v>1.0 pu / 0° are initialization values only, not measured plant values.</x:v>
      </x:c>
    </x:row>
    <x:row r="7">
      <x:c r="A7" s="23" t="str">
        <x:v>kV Base</x:v>
      </x:c>
      <x:c r="B7" s="23" t="str">
        <x:v>Use nominal bus/system voltage: 22, 230, 6.6, 0.4 kV as applicable.</x:v>
      </x:c>
    </x:row>
    <x:row r="8">
      <x:c r="A8" s="23" t="str">
        <x:v>kV Oper</x:v>
      </x:c>
      <x:c r="B8" s="23" t="str">
        <x:v>Use actual operating voltage or study setpoint when supplied. Otherwise leave blank until the study condition is defined.</x:v>
      </x:c>
    </x:row>
    <x:row r="9">
      <x:c r="A9" s="23" t="str">
        <x:v>pu Min/Max</x:v>
      </x:c>
      <x:c r="B9" s="23" t="str">
        <x:v>Use project-stated terminal tolerances where explicit: 22 kV ±5% → 0.95/1.05; 6.6 kV ±10% → 0.90/1.10; 400 V ±10% → 0.90/1.10.</x:v>
      </x:c>
    </x:row>
    <x:row r="10">
      <x:c r="A10" s="23" t="str">
        <x:v>RQ01/XQ01/RQ00/XQ00</x:v>
      </x:c>
      <x:c r="B10" s="23" t="str">
        <x:v>No bus shunt sequence terms were found in the reviewed engineer files. Leave blank unless PSAF requires a no-shunt default.</x:v>
      </x:c>
    </x:row>
    <x:row r="11">
      <x:c r="A11" s="23" t="str">
        <x:v>Nominal vs rated/Um</x:v>
      </x:c>
      <x:c r="B11" s="23" t="str">
        <x:v>Nominal/system voltage defines the network bus. Equipment rated voltage/Um is an equipment insulation/rating value and is NOT the bus base voltage.</x:v>
      </x:c>
    </x:row>
    <x:row r="12">
      <x:c r="A12" s="23" t="str">
        <x:v>Critical example</x:v>
      </x:c>
      <x:c r="B12" s="23" t="str">
        <x:v>UAT LV winding is rated 6.9 kV, while the plant MV bus is 6.6 kV; UAT LV Um is 7.2 kV. These are different concepts.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</x:cols>
  <x:sheetData>
    <x:row r="1" ht="24" customHeight="1">
      <x:c r="A1" s="5" t="str">
        <x:v>PSAF Bus Input — Exact SLD Names / Engineer Data</x:v>
      </x:c>
    </x:row>
    <x:row r="3" ht="36" customHeight="1">
      <x:c r="A3" s="22" t="str">
        <x:v>ID</x:v>
      </x:c>
      <x:c r="B3" s="22" t="str">
        <x:v>Extra ID</x:v>
      </x:c>
      <x:c r="C3" s="22" t="str">
        <x:v>Zone</x:v>
      </x:c>
      <x:c r="D3" s="22" t="str">
        <x:v>Status</x:v>
      </x:c>
      <x:c r="E3" s="22" t="str">
        <x:v>Volt Sol</x:v>
      </x:c>
      <x:c r="F3" s="22" t="str">
        <x:v>Angle Sol</x:v>
      </x:c>
      <x:c r="G3" s="22" t="str">
        <x:v>kV Base</x:v>
      </x:c>
      <x:c r="H3" s="22" t="str">
        <x:v>kV Oper</x:v>
      </x:c>
      <x:c r="I3" s="22" t="str">
        <x:v>pu Min</x:v>
      </x:c>
      <x:c r="J3" s="22" t="str">
        <x:v>pu Max</x:v>
      </x:c>
      <x:c r="K3" s="22" t="str">
        <x:v>RQ01</x:v>
      </x:c>
      <x:c r="L3" s="22" t="str">
        <x:v>XQ01</x:v>
      </x:c>
      <x:c r="M3" s="22" t="str">
        <x:v>RQ00</x:v>
      </x:c>
      <x:c r="N3" s="22" t="str">
        <x:v>XQ00</x:v>
      </x:c>
      <x:c r="O3" s="22" t="str">
        <x:v>Data Status</x:v>
      </x:c>
      <x:c r="P3" s="22" t="str">
        <x:v>Exact SLD / Bus Reference</x:v>
      </x:c>
      <x:c r="Q3" s="22" t="str">
        <x:v>Source File</x:v>
      </x:c>
      <x:c r="R3" s="22" t="str">
        <x:v>Source Page</x:v>
      </x:c>
      <x:c r="S3" s="22" t="str">
        <x:v>Notes</x:v>
      </x:c>
    </x:row>
    <x:row r="4">
      <x:c r="A4" s="23" t="str">
        <x:v>B230_1</x:v>
      </x:c>
      <x:c r="B4" s="23" t="str">
        <x:v>BUS 1</x:v>
      </x:c>
      <x:c r="C4" s="23" t="str">
        <x:v>0</x:v>
      </x:c>
      <x:c r="D4" s="30" t="b">
        <x:v>1</x:v>
      </x:c>
      <x:c r="E4" s="34" t="n">
        <x:v>1</x:v>
      </x:c>
      <x:c r="F4" s="34" t="n">
        <x:v>0</x:v>
      </x:c>
      <x:c r="G4" s="34" t="n">
        <x:v>230</x:v>
      </x:c>
      <x:c r="H4" s="34" t="str"/>
      <x:c r="I4" s="34" t="str"/>
      <x:c r="J4" s="34" t="str"/>
      <x:c r="K4" s="23" t="str"/>
      <x:c r="L4" s="23" t="str"/>
      <x:c r="M4" s="23" t="str"/>
      <x:c r="N4" s="23" t="str"/>
      <x:c r="O4" s="23" t="str">
        <x:v>CONFIRMED bus; init values modelled</x:v>
      </x:c>
      <x:c r="P4" s="23" t="str">
        <x:v>BUS 1 — 230-kV GIS</x:v>
      </x:c>
      <x:c r="Q4" s="23" t="str">
        <x:v>GENERATION AND TRANSFORMERS SYSTEM(1).pdf</x:v>
      </x:c>
      <x:c r="R4" s="23" t="str">
        <x:v>p.2</x:v>
      </x:c>
      <x:c r="S4" s="23" t="str">
        <x:v>GIS shown as 230 kV, 3150 A, 50 kA, 50 Hz.</x:v>
      </x:c>
    </x:row>
    <x:row r="5">
      <x:c r="A5" s="23" t="str">
        <x:v>B230_2</x:v>
      </x:c>
      <x:c r="B5" s="23" t="str">
        <x:v>BUS 2</x:v>
      </x:c>
      <x:c r="C5" s="23" t="str">
        <x:v>0</x:v>
      </x:c>
      <x:c r="D5" s="30" t="b">
        <x:v>1</x:v>
      </x:c>
      <x:c r="E5" s="34" t="n">
        <x:v>1</x:v>
      </x:c>
      <x:c r="F5" s="34" t="n">
        <x:v>0</x:v>
      </x:c>
      <x:c r="G5" s="34" t="n">
        <x:v>230</x:v>
      </x:c>
      <x:c r="H5" s="34" t="str"/>
      <x:c r="I5" s="34" t="str"/>
      <x:c r="J5" s="34" t="str"/>
      <x:c r="K5" s="23" t="str"/>
      <x:c r="L5" s="23" t="str"/>
      <x:c r="M5" s="23" t="str"/>
      <x:c r="N5" s="23" t="str"/>
      <x:c r="O5" s="23" t="str">
        <x:v>CONFIRMED bus; init values modelled</x:v>
      </x:c>
      <x:c r="P5" s="23" t="str">
        <x:v>BUS 2 — 230-kV GIS</x:v>
      </x:c>
      <x:c r="Q5" s="23" t="str">
        <x:v>GENERATION AND TRANSFORMERS SYSTEM(1).pdf</x:v>
      </x:c>
      <x:c r="R5" s="23" t="str">
        <x:v>p.2</x:v>
      </x:c>
      <x:c r="S5" s="23" t="str">
        <x:v>Second 230-kV GIS busbar.</x:v>
      </x:c>
    </x:row>
    <x:row r="6">
      <x:c r="A6" s="23" t="str">
        <x:v>B22G</x:v>
      </x:c>
      <x:c r="B6" s="23" t="str">
        <x:v>GENERATOR / ISOLATED PHASE BUSBARS</x:v>
      </x:c>
      <x:c r="C6" s="23" t="str">
        <x:v>0</x:v>
      </x:c>
      <x:c r="D6" s="30" t="b">
        <x:v>1</x:v>
      </x:c>
      <x:c r="E6" s="34" t="n">
        <x:v>1</x:v>
      </x:c>
      <x:c r="F6" s="34" t="n">
        <x:v>0</x:v>
      </x:c>
      <x:c r="G6" s="34" t="n">
        <x:v>22</x:v>
      </x:c>
      <x:c r="H6" s="34" t="str"/>
      <x:c r="I6" s="34" t="n">
        <x:v>0.95</x:v>
      </x:c>
      <x:c r="J6" s="34" t="n">
        <x:v>1.05</x:v>
      </x:c>
      <x:c r="K6" s="23" t="str"/>
      <x:c r="L6" s="23" t="str"/>
      <x:c r="M6" s="23" t="str"/>
      <x:c r="N6" s="23" t="str"/>
      <x:c r="O6" s="23" t="str">
        <x:v>CONFIRMED; 22 kV ±5%</x:v>
      </x:c>
      <x:c r="P6" s="23" t="str">
        <x:v>Generator terminal / isolated phase busbars</x:v>
      </x:c>
      <x:c r="Q6" s="23" t="str">
        <x:v>GENERATION AND TRANSFORMERS SYSTEM(1).pdf; Generator Name Plate_South.pdf</x:v>
      </x:c>
      <x:c r="R6" s="23" t="str">
        <x:v>G&amp;T p.2; Nameplate p.2</x:v>
      </x:c>
      <x:c r="S6" s="23" t="str">
        <x:v>Do not use 10BBA10/10BAA10 blindly as the bus name.</x:v>
      </x:c>
    </x:row>
    <x:row r="7">
      <x:c r="A7" s="23" t="str">
        <x:v>B6_6</x:v>
      </x:c>
      <x:c r="B7" s="23" t="str">
        <x:v>MV BUSBAR</x:v>
      </x:c>
      <x:c r="C7" s="23" t="str">
        <x:v>0</x:v>
      </x:c>
      <x:c r="D7" s="30" t="b">
        <x:v>1</x:v>
      </x:c>
      <x:c r="E7" s="34" t="n">
        <x:v>1</x:v>
      </x:c>
      <x:c r="F7" s="34" t="n">
        <x:v>0</x:v>
      </x:c>
      <x:c r="G7" s="34" t="n">
        <x:v>6.6</x:v>
      </x:c>
      <x:c r="H7" s="34" t="str"/>
      <x:c r="I7" s="34" t="n">
        <x:v>0.9</x:v>
      </x:c>
      <x:c r="J7" s="34" t="n">
        <x:v>1.1</x:v>
      </x:c>
      <x:c r="K7" s="23" t="str"/>
      <x:c r="L7" s="23" t="str"/>
      <x:c r="M7" s="23" t="str"/>
      <x:c r="N7" s="23" t="str"/>
      <x:c r="O7" s="23" t="str">
        <x:v>CONFIRMED; 6.6 kV ±10%</x:v>
      </x:c>
      <x:c r="P7" s="23" t="str">
        <x:v>MV BUSBAR 6600 V, 2500 A, 31.5 kA, 3P, 50 Hz</x:v>
      </x:c>
      <x:c r="Q7" s="23" t="str">
        <x:v>INEL-112070-00-ELC-DE-0001-REV3.pdf</x:v>
      </x:c>
      <x:c r="R7" s="23" t="str">
        <x:v>p.2</x:v>
      </x:c>
      <x:c r="S7" s="23" t="str">
        <x:v>Plant MV bus is 6.6 kV. UAT/GAT LV winding is rated 6.9 kV.</x:v>
      </x:c>
    </x:row>
    <x:row r="8">
      <x:c r="A8" s="23" t="str">
        <x:v>B400_UA1</x:v>
      </x:c>
      <x:c r="B8" s="23" t="str">
        <x:v>UNIT AUX SWGR-1</x:v>
      </x:c>
      <x:c r="C8" s="23" t="str">
        <x:v>0</x:v>
      </x:c>
      <x:c r="D8" s="30" t="b">
        <x:v>1</x:v>
      </x:c>
      <x:c r="E8" s="34" t="n">
        <x:v>1</x:v>
      </x:c>
      <x:c r="F8" s="34" t="n">
        <x:v>0</x:v>
      </x:c>
      <x:c r="G8" s="34" t="n">
        <x:v>0.4</x:v>
      </x:c>
      <x:c r="H8" s="34" t="str"/>
      <x:c r="I8" s="34" t="n">
        <x:v>0.9</x:v>
      </x:c>
      <x:c r="J8" s="34" t="n">
        <x:v>1.1</x:v>
      </x:c>
      <x:c r="K8" s="23" t="str"/>
      <x:c r="L8" s="23" t="str"/>
      <x:c r="M8" s="23" t="str"/>
      <x:c r="N8" s="23" t="str"/>
      <x:c r="O8" s="23" t="str">
        <x:v>CONFIRMED; 400 V ±10%</x:v>
      </x:c>
      <x:c r="P8" s="23" t="str">
        <x:v>UNIT AUX SWGR-1</x:v>
      </x:c>
      <x:c r="Q8" s="23" t="str">
        <x:v>INEL-112070-00-ELC-DE-0001-REV3.pdf</x:v>
      </x:c>
      <x:c r="R8" s="23" t="str">
        <x:v>p.2</x:v>
      </x:c>
      <x:c r="S8" s="23" t="str">
        <x:v>LV auxiliary bus/switchgear.</x:v>
      </x:c>
    </x:row>
    <x:row r="9">
      <x:c r="A9" s="23" t="str">
        <x:v>B400_UA2</x:v>
      </x:c>
      <x:c r="B9" s="23" t="str">
        <x:v>UNIT AUX SWGR-2</x:v>
      </x:c>
      <x:c r="C9" s="23" t="str">
        <x:v>0</x:v>
      </x:c>
      <x:c r="D9" s="30" t="b">
        <x:v>1</x:v>
      </x:c>
      <x:c r="E9" s="34" t="n">
        <x:v>1</x:v>
      </x:c>
      <x:c r="F9" s="34" t="n">
        <x:v>0</x:v>
      </x:c>
      <x:c r="G9" s="34" t="n">
        <x:v>0.4</x:v>
      </x:c>
      <x:c r="H9" s="34" t="str"/>
      <x:c r="I9" s="34" t="n">
        <x:v>0.9</x:v>
      </x:c>
      <x:c r="J9" s="34" t="n">
        <x:v>1.1</x:v>
      </x:c>
      <x:c r="K9" s="23" t="str"/>
      <x:c r="L9" s="23" t="str"/>
      <x:c r="M9" s="23" t="str"/>
      <x:c r="N9" s="23" t="str"/>
      <x:c r="O9" s="23" t="str">
        <x:v>CONFIRMED; 400 V ±10%</x:v>
      </x:c>
      <x:c r="P9" s="23" t="str">
        <x:v>UNIT AUX SWGR-2</x:v>
      </x:c>
      <x:c r="Q9" s="23" t="str">
        <x:v>INEL-112070-00-ELC-DE-0001-REV3.pdf</x:v>
      </x:c>
      <x:c r="R9" s="23" t="str">
        <x:v>p.2</x:v>
      </x:c>
      <x:c r="S9" s="23" t="str">
        <x:v>LV auxiliary bus/switchgear.</x:v>
      </x:c>
    </x:row>
    <x:row r="10">
      <x:c r="A10" s="23" t="str">
        <x:v>B400_ST</x:v>
      </x:c>
      <x:c r="B10" s="23" t="str">
        <x:v>STATION SWGR</x:v>
      </x:c>
      <x:c r="C10" s="23" t="str">
        <x:v>0</x:v>
      </x:c>
      <x:c r="D10" s="30" t="b">
        <x:v>1</x:v>
      </x:c>
      <x:c r="E10" s="34" t="n">
        <x:v>1</x:v>
      </x:c>
      <x:c r="F10" s="34" t="n">
        <x:v>0</x:v>
      </x:c>
      <x:c r="G10" s="34" t="n">
        <x:v>0.4</x:v>
      </x:c>
      <x:c r="H10" s="34" t="str"/>
      <x:c r="I10" s="34" t="n">
        <x:v>0.9</x:v>
      </x:c>
      <x:c r="J10" s="34" t="n">
        <x:v>1.1</x:v>
      </x:c>
      <x:c r="K10" s="23" t="str"/>
      <x:c r="L10" s="23" t="str"/>
      <x:c r="M10" s="23" t="str"/>
      <x:c r="N10" s="23" t="str"/>
      <x:c r="O10" s="23" t="str">
        <x:v>CONFIRMED; 400 V ±10%</x:v>
      </x:c>
      <x:c r="P10" s="23" t="str">
        <x:v>STATION SWGR</x:v>
      </x:c>
      <x:c r="Q10" s="23" t="str">
        <x:v>INEL-112070-00-ELC-DE-0001-REV3.pdf</x:v>
      </x:c>
      <x:c r="R10" s="23" t="str">
        <x:v>p.2</x:v>
      </x:c>
      <x:c r="S10" s="23" t="str">
        <x:v>Station auxiliary LV bus.</x:v>
      </x:c>
    </x:row>
    <x:row r="11">
      <x:c r="A11" s="23" t="str">
        <x:v>B400_EU</x:v>
      </x:c>
      <x:c r="B11" s="23" t="str">
        <x:v>ESSENTIAL UNIT SWGR</x:v>
      </x:c>
      <x:c r="C11" s="23" t="str">
        <x:v>0</x:v>
      </x:c>
      <x:c r="D11" s="30" t="b">
        <x:v>1</x:v>
      </x:c>
      <x:c r="E11" s="34" t="n">
        <x:v>1</x:v>
      </x:c>
      <x:c r="F11" s="34" t="n">
        <x:v>0</x:v>
      </x:c>
      <x:c r="G11" s="34" t="n">
        <x:v>0.4</x:v>
      </x:c>
      <x:c r="H11" s="34" t="str"/>
      <x:c r="I11" s="34" t="n">
        <x:v>0.9</x:v>
      </x:c>
      <x:c r="J11" s="34" t="n">
        <x:v>1.1</x:v>
      </x:c>
      <x:c r="K11" s="23" t="str"/>
      <x:c r="L11" s="23" t="str"/>
      <x:c r="M11" s="23" t="str"/>
      <x:c r="N11" s="23" t="str"/>
      <x:c r="O11" s="23" t="str">
        <x:v>CONFIRMED; 400 V ±10%</x:v>
      </x:c>
      <x:c r="P11" s="23" t="str">
        <x:v>ESSENTIAL UNIT SWGR</x:v>
      </x:c>
      <x:c r="Q11" s="23" t="str">
        <x:v>INEL-112070-00-ELC-DE-0001-REV3.pdf</x:v>
      </x:c>
      <x:c r="R11" s="23" t="str">
        <x:v>p.2</x:v>
      </x:c>
      <x:c r="S11" s="23" t="str">
        <x:v>Essential/emergency LV bus.</x:v>
      </x:c>
    </x:row>
    <x:row r="12">
      <x:c r="A12" s="23" t="str">
        <x:v>B6_6_WI1</x:v>
      </x:c>
      <x:c r="B12" s="23" t="str">
        <x:v>MV WATER INTAKE BUSBAR-1</x:v>
      </x:c>
      <x:c r="C12" s="23" t="str">
        <x:v>0</x:v>
      </x:c>
      <x:c r="D12" s="30" t="b">
        <x:v>1</x:v>
      </x:c>
      <x:c r="E12" s="34" t="n">
        <x:v>1</x:v>
      </x:c>
      <x:c r="F12" s="34" t="n">
        <x:v>0</x:v>
      </x:c>
      <x:c r="G12" s="34" t="n">
        <x:v>6.6</x:v>
      </x:c>
      <x:c r="H12" s="34" t="str"/>
      <x:c r="I12" s="34" t="n">
        <x:v>0.9</x:v>
      </x:c>
      <x:c r="J12" s="34" t="n">
        <x:v>1.1</x:v>
      </x:c>
      <x:c r="K12" s="23" t="str"/>
      <x:c r="L12" s="23" t="str"/>
      <x:c r="M12" s="23" t="str"/>
      <x:c r="N12" s="23" t="str"/>
      <x:c r="O12" s="23" t="str">
        <x:v>CONFIRMED; 6.6 kV ±10%</x:v>
      </x:c>
      <x:c r="P12" s="23" t="str">
        <x:v>MV WATER INTAKE BUSBAR-1</x:v>
      </x:c>
      <x:c r="Q12" s="23" t="str">
        <x:v>INEL-112070-00-ELC-DE-0001-REV3.pdf</x:v>
      </x:c>
      <x:c r="R12" s="23" t="str">
        <x:v>p.2</x:v>
      </x:c>
      <x:c r="S12" s="23" t="str">
        <x:v>Water-intake MV bus 1.</x:v>
      </x:c>
    </x:row>
    <x:row r="13">
      <x:c r="A13" s="23" t="str">
        <x:v>B6_6_WI2</x:v>
      </x:c>
      <x:c r="B13" s="23" t="str">
        <x:v>MV WATER INTAKE BUSBAR-2</x:v>
      </x:c>
      <x:c r="C13" s="23" t="str">
        <x:v>0</x:v>
      </x:c>
      <x:c r="D13" s="30" t="b">
        <x:v>1</x:v>
      </x:c>
      <x:c r="E13" s="34" t="n">
        <x:v>1</x:v>
      </x:c>
      <x:c r="F13" s="34" t="n">
        <x:v>0</x:v>
      </x:c>
      <x:c r="G13" s="34" t="n">
        <x:v>6.6</x:v>
      </x:c>
      <x:c r="H13" s="34" t="str"/>
      <x:c r="I13" s="34" t="n">
        <x:v>0.9</x:v>
      </x:c>
      <x:c r="J13" s="34" t="n">
        <x:v>1.1</x:v>
      </x:c>
      <x:c r="K13" s="23" t="str"/>
      <x:c r="L13" s="23" t="str"/>
      <x:c r="M13" s="23" t="str"/>
      <x:c r="N13" s="23" t="str"/>
      <x:c r="O13" s="23" t="str">
        <x:v>CONFIRMED; 6.6 kV ±10%</x:v>
      </x:c>
      <x:c r="P13" s="23" t="str">
        <x:v>MV WATER INTAKE BUSBAR-2</x:v>
      </x:c>
      <x:c r="Q13" s="23" t="str">
        <x:v>INEL-112070-00-ELC-DE-0001-REV3.pdf</x:v>
      </x:c>
      <x:c r="R13" s="23" t="str">
        <x:v>p.2</x:v>
      </x:c>
      <x:c r="S13" s="23" t="str">
        <x:v>Water-intake MV bus 2.</x:v>
      </x:c>
    </x:row>
    <x:row r="14">
      <x:c r="A14" s="23" t="str">
        <x:v>B400_WI</x:v>
      </x:c>
      <x:c r="B14" s="23" t="str">
        <x:v>LV WATER INTAKE BUSBAR</x:v>
      </x:c>
      <x:c r="C14" s="23" t="str">
        <x:v>0</x:v>
      </x:c>
      <x:c r="D14" s="30" t="b">
        <x:v>1</x:v>
      </x:c>
      <x:c r="E14" s="34" t="n">
        <x:v>1</x:v>
      </x:c>
      <x:c r="F14" s="34" t="n">
        <x:v>0</x:v>
      </x:c>
      <x:c r="G14" s="34" t="n">
        <x:v>0.4</x:v>
      </x:c>
      <x:c r="H14" s="34" t="str"/>
      <x:c r="I14" s="34" t="n">
        <x:v>0.9</x:v>
      </x:c>
      <x:c r="J14" s="34" t="n">
        <x:v>1.1</x:v>
      </x:c>
      <x:c r="K14" s="23" t="str"/>
      <x:c r="L14" s="23" t="str"/>
      <x:c r="M14" s="23" t="str"/>
      <x:c r="N14" s="23" t="str"/>
      <x:c r="O14" s="23" t="str">
        <x:v>CONFIRMED; 400 V ±10%</x:v>
      </x:c>
      <x:c r="P14" s="23" t="str">
        <x:v>LV WATER INTAKE BUSBAR</x:v>
      </x:c>
      <x:c r="Q14" s="23" t="str">
        <x:v>INEL-112070-00-ELC-DE-0001-REV3.pdf</x:v>
      </x:c>
      <x:c r="R14" s="23" t="str">
        <x:v>p.2</x:v>
      </x:c>
      <x:c r="S14" s="23" t="str">
        <x:v>400-V water-intake bus.</x:v>
      </x:c>
    </x:row>
    <x:row r="15">
      <x:c r="A15" s="23" t="str">
        <x:v>BGRID230</x:v>
      </x:c>
      <x:c r="B15" s="23" t="str">
        <x:v>EXTERNAL 230-kV GRID (MODELLED)</x:v>
      </x:c>
      <x:c r="C15" s="23" t="str">
        <x:v>0</x:v>
      </x:c>
      <x:c r="D15" s="30" t="b">
        <x:v>1</x:v>
      </x:c>
      <x:c r="E15" s="34" t="n">
        <x:v>1</x:v>
      </x:c>
      <x:c r="F15" s="34" t="n">
        <x:v>0</x:v>
      </x:c>
      <x:c r="G15" s="34" t="n">
        <x:v>230</x:v>
      </x:c>
      <x:c r="H15" s="34" t="str"/>
      <x:c r="I15" s="34" t="str"/>
      <x:c r="J15" s="34" t="str"/>
      <x:c r="K15" s="23" t="str"/>
      <x:c r="L15" s="23" t="str"/>
      <x:c r="M15" s="23" t="str"/>
      <x:c r="N15" s="23" t="str"/>
      <x:c r="O15" s="23" t="str">
        <x:v>MODELLED external bus, not an SLD bus</x:v>
      </x:c>
      <x:c r="P15" s="23" t="str">
        <x:v>230-kV external grid equivalent</x:v>
      </x:c>
      <x:c r="Q15" s="23" t="str">
        <x:v>S001-112070-00-ELC-CL-0002.pdf</x:v>
      </x:c>
      <x:c r="R15" s="23" t="str">
        <x:v>p.7</x:v>
      </x:c>
      <x:c r="S15" s="23" t="str">
        <x:v>Created to close the plant model to an external system; 230 kV is source-supported.</x:v>
      </x:c>
    </x:row>
    <x:row r="16">
      <x:c r="E16" s="35"/>
      <x:c r="F16" s="35"/>
      <x:c r="G16" s="35"/>
      <x:c r="H16" s="35"/>
      <x:c r="I16" s="35"/>
      <x:c r="J16" s="35"/>
    </x:row>
    <x:row r="17">
      <x:c r="E17" s="35"/>
      <x:c r="F17" s="35"/>
      <x:c r="G17" s="35"/>
      <x:c r="H17" s="35"/>
      <x:c r="I17" s="35"/>
      <x:c r="J17" s="35"/>
    </x:row>
    <x:row r="18">
      <x:c r="E18" s="35"/>
      <x:c r="F18" s="35"/>
      <x:c r="G18" s="35"/>
      <x:c r="H18" s="35"/>
      <x:c r="I18" s="35"/>
      <x:c r="J18" s="35"/>
    </x:row>
    <x:row r="19">
      <x:c r="E19" s="35"/>
      <x:c r="F19" s="35"/>
      <x:c r="G19" s="35"/>
      <x:c r="H19" s="35"/>
      <x:c r="I19" s="35"/>
      <x:c r="J19" s="35"/>
    </x:row>
    <x:row r="20">
      <x:c r="E20" s="35"/>
      <x:c r="F20" s="35"/>
      <x:c r="G20" s="35"/>
      <x:c r="H20" s="35"/>
      <x:c r="I20" s="35"/>
      <x:c r="J20" s="35"/>
    </x:row>
  </x:sheetData>
  <x:mergeCells>
    <x:mergeCell ref="A1:S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6" hidden="0" customWidth="1"/>
    <x:col min="22" max="22" width="18" hidden="0" customWidth="1"/>
    <x:col min="23" max="23" width="36" hidden="0" customWidth="1"/>
  </x:cols>
  <x:sheetData>
    <x:row r="1" ht="24" customHeight="1">
      <x:c r="A1" s="5" t="str">
        <x:v>PSAF Generator Input — Engineer Data</x:v>
      </x:c>
    </x:row>
    <x:row r="3" ht="36" customHeight="1">
      <x:c r="A3" s="22" t="str">
        <x:v>ID</x:v>
      </x:c>
      <x:c r="B3" s="22" t="str">
        <x:v>Extra ID</x:v>
      </x:c>
      <x:c r="C3" s="22" t="str">
        <x:v>Bus Extra ID</x:v>
      </x:c>
      <x:c r="D3" s="22" t="str">
        <x:v>Type</x:v>
      </x:c>
      <x:c r="E3" s="22" t="str">
        <x:v>MVA</x:v>
      </x:c>
      <x:c r="F3" s="22" t="str">
        <x:v>MW Rated</x:v>
      </x:c>
      <x:c r="G3" s="22" t="str">
        <x:v>PF</x:v>
      </x:c>
      <x:c r="H3" s="22" t="str">
        <x:v>kV Rated</x:v>
      </x:c>
      <x:c r="I3" s="22" t="str">
        <x:v>Voltage Tolerance</x:v>
      </x:c>
      <x:c r="J3" s="22" t="str">
        <x:v>Xd %</x:v>
      </x:c>
      <x:c r="K3" s="22" t="str">
        <x:v>Xd' %</x:v>
      </x:c>
      <x:c r="L3" s="22" t="str">
        <x:v>Xd'' %</x:v>
      </x:c>
      <x:c r="M3" s="22" t="str">
        <x:v>Xq %</x:v>
      </x:c>
      <x:c r="N3" s="22" t="str">
        <x:v>Xq' %</x:v>
      </x:c>
      <x:c r="O3" s="22" t="str">
        <x:v>Xq'' %</x:v>
      </x:c>
      <x:c r="P3" s="22" t="str">
        <x:v>X2 %</x:v>
      </x:c>
      <x:c r="Q3" s="22" t="str">
        <x:v>X0 %</x:v>
      </x:c>
      <x:c r="R3" s="22" t="str">
        <x:v>Ra</x:v>
      </x:c>
      <x:c r="S3" s="22" t="str">
        <x:v>Q Capability</x:v>
      </x:c>
      <x:c r="T3" s="22" t="str">
        <x:v>Status</x:v>
      </x:c>
      <x:c r="U3" s="22" t="str">
        <x:v>Source File</x:v>
      </x:c>
      <x:c r="V3" s="22" t="str">
        <x:v>Page</x:v>
      </x:c>
      <x:c r="W3" s="22" t="str">
        <x:v>Notes</x:v>
      </x:c>
    </x:row>
    <x:row r="4">
      <x:c r="A4" s="23" t="str">
        <x:v>G1</x:v>
      </x:c>
      <x:c r="B4" s="23" t="str">
        <x:v>GENERATOR</x:v>
      </x:c>
      <x:c r="C4" s="23" t="str">
        <x:v>GENERATOR / ISOLATED PHASE BUSBARS</x:v>
      </x:c>
      <x:c r="D4" s="23" t="str">
        <x:v>SGen5-2000H synchronous generator</x:v>
      </x:c>
      <x:c r="E4" s="32" t="n">
        <x:v>458</x:v>
      </x:c>
      <x:c r="F4" s="32" t="n">
        <x:v>389.3</x:v>
      </x:c>
      <x:c r="G4" s="32" t="n">
        <x:v>0.85</x:v>
      </x:c>
      <x:c r="H4" s="32" t="n">
        <x:v>22</x:v>
      </x:c>
      <x:c r="I4" s="32" t="str">
        <x:v>±5%</x:v>
      </x:c>
      <x:c r="J4" s="32" t="n">
        <x:v>166.3</x:v>
      </x:c>
      <x:c r="K4" s="32" t="n">
        <x:v>28.65</x:v>
      </x:c>
      <x:c r="L4" s="32" t="n">
        <x:v>22.48</x:v>
      </x:c>
      <x:c r="M4" s="32" t="str"/>
      <x:c r="N4" s="32" t="str"/>
      <x:c r="O4" s="32" t="str"/>
      <x:c r="P4" s="32" t="str"/>
      <x:c r="Q4" s="32" t="str"/>
      <x:c r="R4" s="32" t="str"/>
      <x:c r="S4" s="23" t="str">
        <x:v>Attachment 1 capability curve</x:v>
      </x:c>
      <x:c r="T4" s="23" t="str">
        <x:v>CONFIRMED fields; blanks not supplied</x:v>
      </x:c>
      <x:c r="U4" s="23" t="str">
        <x:v>Generator Data_South(1).pdf / Generator Name Plate_South.pdf</x:v>
      </x:c>
      <x:c r="V4" s="23" t="str">
        <x:v>Data p.1-4; Nameplate p.2</x:v>
      </x:c>
      <x:c r="W4" s="23" t="str">
        <x:v>Do not invent Xq/X2/X0/Ra/H/time constants.</x:v>
      </x:c>
    </x:row>
    <x:row r="5"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</x:row>
    <x:row r="7"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</x:row>
    <x:row r="8"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</x:row>
    <x:row r="9"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</x:row>
    <x:row r="10"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</x:row>
  </x:sheetData>
  <x:mergeCells>
    <x:mergeCell ref="A1:W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18" hidden="0" customWidth="1"/>
    <x:col min="8" max="8" width="36" hidden="0" customWidth="1"/>
  </x:cols>
  <x:sheetData>
    <x:row r="1" ht="24" customHeight="1">
      <x:c r="A1" s="5" t="str">
        <x:v>Generator Q Capability Curve — Enter into PSAF</x:v>
      </x:c>
    </x:row>
    <x:row r="3" ht="36" customHeight="1">
      <x:c r="A3" s="22" t="str">
        <x:v>Point</x:v>
      </x:c>
      <x:c r="B3" s="22" t="str">
        <x:v>P Gen MW</x:v>
      </x:c>
      <x:c r="C3" s="22" t="str">
        <x:v>Q Max MVAr</x:v>
      </x:c>
      <x:c r="D3" s="22" t="str">
        <x:v>Q Min MVAr</x:v>
      </x:c>
      <x:c r="E3" s="22" t="str">
        <x:v>Status</x:v>
      </x:c>
      <x:c r="F3" s="22" t="str">
        <x:v>Source</x:v>
      </x:c>
      <x:c r="G3" s="22" t="str">
        <x:v>Page</x:v>
      </x:c>
      <x:c r="H3" s="22" t="str">
        <x:v>Notes</x:v>
      </x:c>
    </x:row>
    <x:row r="4">
      <x:c r="A4" s="23" t="n">
        <x:v>1</x:v>
      </x:c>
      <x:c r="B4" s="23" t="n">
        <x:v>1</x:v>
      </x:c>
      <x:c r="C4" s="23" t="n">
        <x:v>332.3</x:v>
      </x:c>
      <x:c r="D4" s="23" t="n">
        <x:v>-228.7</x:v>
      </x:c>
      <x:c r="E4" s="23" t="str">
        <x:v>DIGITIZED</x:v>
      </x:c>
      <x:c r="F4" s="23" t="str">
        <x:v>Generator Protection Setting Report</x:v>
      </x:c>
      <x:c r="G4" s="23" t="str">
        <x:v>Attachment 1 / p.42 of 44</x:v>
      </x:c>
      <x:c r="H4" s="23" t="str">
        <x:v>Digitized from Siemens capability curve.</x:v>
      </x:c>
    </x:row>
    <x:row r="5">
      <x:c r="A5" s="23" t="n">
        <x:v>2</x:v>
      </x:c>
      <x:c r="B5" s="23" t="n">
        <x:v>100</x:v>
      </x:c>
      <x:c r="C5" s="23" t="n">
        <x:v>326.7</x:v>
      </x:c>
      <x:c r="D5" s="23" t="n">
        <x:v>-225.2</x:v>
      </x:c>
      <x:c r="E5" s="23" t="str">
        <x:v>DIGITIZED</x:v>
      </x:c>
      <x:c r="F5" s="23" t="str">
        <x:v>Generator Protection Setting Report</x:v>
      </x:c>
      <x:c r="G5" s="23" t="str">
        <x:v>Attachment 1 / p.42 of 44</x:v>
      </x:c>
      <x:c r="H5" s="23" t="str">
        <x:v>Digitized.</x:v>
      </x:c>
    </x:row>
    <x:row r="6">
      <x:c r="A6" s="23" t="n">
        <x:v>3</x:v>
      </x:c>
      <x:c r="B6" s="23" t="n">
        <x:v>200</x:v>
      </x:c>
      <x:c r="C6" s="23" t="n">
        <x:v>308.8</x:v>
      </x:c>
      <x:c r="D6" s="23" t="n">
        <x:v>-213.1</x:v>
      </x:c>
      <x:c r="E6" s="23" t="str">
        <x:v>DIGITIZED</x:v>
      </x:c>
      <x:c r="F6" s="23" t="str">
        <x:v>Generator Protection Setting Report</x:v>
      </x:c>
      <x:c r="G6" s="23" t="str">
        <x:v>Attachment 1 / p.42 of 44</x:v>
      </x:c>
      <x:c r="H6" s="23" t="str">
        <x:v>Digitized.</x:v>
      </x:c>
    </x:row>
    <x:row r="7">
      <x:c r="A7" s="23" t="n">
        <x:v>4</x:v>
      </x:c>
      <x:c r="B7" s="23" t="n">
        <x:v>300</x:v>
      </x:c>
      <x:c r="C7" s="23" t="n">
        <x:v>278.6</x:v>
      </x:c>
      <x:c r="D7" s="23" t="n">
        <x:v>-192.5</x:v>
      </x:c>
      <x:c r="E7" s="23" t="str">
        <x:v>DIGITIZED</x:v>
      </x:c>
      <x:c r="F7" s="23" t="str">
        <x:v>Generator Protection Setting Report</x:v>
      </x:c>
      <x:c r="G7" s="23" t="str">
        <x:v>Attachment 1 / p.42 of 44</x:v>
      </x:c>
      <x:c r="H7" s="23" t="str">
        <x:v>Digitized.</x:v>
      </x:c>
    </x:row>
    <x:row r="8">
      <x:c r="A8" s="23" t="n">
        <x:v>5</x:v>
      </x:c>
      <x:c r="B8" s="23" t="n">
        <x:v>389.2</x:v>
      </x:c>
      <x:c r="C8" s="23" t="n">
        <x:v>239.4</x:v>
      </x:c>
      <x:c r="D8" s="23" t="n">
        <x:v>-167.1</x:v>
      </x:c>
      <x:c r="E8" s="23" t="str">
        <x:v>DIGITIZED</x:v>
      </x:c>
      <x:c r="F8" s="23" t="str">
        <x:v>Generator Protection Setting Report</x:v>
      </x:c>
      <x:c r="G8" s="23" t="str">
        <x:v>Attachment 1 / p.42 of 44</x:v>
      </x:c>
      <x:c r="H8" s="23" t="str">
        <x:v>Digitized.</x:v>
      </x:c>
    </x:row>
    <x:row r="9">
      <x:c r="A9" s="23" t="n">
        <x:v>6</x:v>
      </x:c>
      <x:c r="B9" s="23" t="n">
        <x:v>432</x:v>
      </x:c>
      <x:c r="C9" s="23" t="n">
        <x:v>152</x:v>
      </x:c>
      <x:c r="D9" s="23" t="n">
        <x:v>-152.2</x:v>
      </x:c>
      <x:c r="E9" s="23" t="str">
        <x:v>DIGITIZED</x:v>
      </x:c>
      <x:c r="F9" s="23" t="str">
        <x:v>Generator Protection Setting Report</x:v>
      </x:c>
      <x:c r="G9" s="23" t="str">
        <x:v>Attachment 1 / p.42 of 44</x:v>
      </x:c>
      <x:c r="H9" s="23" t="str">
        <x:v>Digitized.</x:v>
      </x:c>
    </x:row>
    <x:row r="10">
      <x:c r="A10" s="23" t="n">
        <x:v>7</x:v>
      </x:c>
      <x:c r="B10" s="23" t="n">
        <x:v>458</x:v>
      </x:c>
      <x:c r="C10" s="23" t="n">
        <x:v>0</x:v>
      </x:c>
      <x:c r="D10" s="23" t="n">
        <x:v>0</x:v>
      </x:c>
      <x:c r="E10" s="23" t="str">
        <x:v>DIGITIZED ENDPOINT</x:v>
      </x:c>
      <x:c r="F10" s="23" t="str">
        <x:v>Generator Protection Setting Report</x:v>
      </x:c>
      <x:c r="G10" s="23" t="str">
        <x:v>Attachment 1 / p.42 of 44</x:v>
      </x:c>
      <x:c r="H10" s="23" t="str">
        <x:v>Endpoint of apparent-power envelope.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6" hidden="0" customWidth="1"/>
    <x:col min="21" max="21" width="18" hidden="0" customWidth="1"/>
    <x:col min="22" max="22" width="36" hidden="0" customWidth="1"/>
  </x:cols>
  <x:sheetData>
    <x:row r="1" ht="24" customHeight="1">
      <x:c r="A1" s="5" t="str">
        <x:v>PSAF Transformer Input — Engineer Data</x:v>
      </x:c>
    </x:row>
    <x:row r="3" ht="36" customHeight="1">
      <x:c r="A3" s="22" t="str">
        <x:v>ID</x:v>
      </x:c>
      <x:c r="B3" s="22" t="str">
        <x:v>Extra ID / SLD Tag</x:v>
      </x:c>
      <x:c r="C3" s="22" t="str">
        <x:v>Type</x:v>
      </x:c>
      <x:c r="D3" s="22" t="str">
        <x:v>From Bus</x:v>
      </x:c>
      <x:c r="E3" s="22" t="str">
        <x:v>To Bus / LV</x:v>
      </x:c>
      <x:c r="F3" s="22" t="str">
        <x:v>Tertiary</x:v>
      </x:c>
      <x:c r="G3" s="22" t="str">
        <x:v>ONAN MVA</x:v>
      </x:c>
      <x:c r="H3" s="22" t="str">
        <x:v>ODAN/ONAF MVA</x:v>
      </x:c>
      <x:c r="I3" s="22" t="str">
        <x:v>ODAF MVA</x:v>
      </x:c>
      <x:c r="J3" s="22" t="str">
        <x:v>HV kV Rated</x:v>
      </x:c>
      <x:c r="K3" s="22" t="str">
        <x:v>LV kV Rated</x:v>
      </x:c>
      <x:c r="L3" s="22" t="str">
        <x:v>Tertiary kV</x:v>
      </x:c>
      <x:c r="M3" s="22" t="str">
        <x:v>Vector Group</x:v>
      </x:c>
      <x:c r="N3" s="22" t="str">
        <x:v>Z Main %</x:v>
      </x:c>
      <x:c r="O3" s="22" t="str">
        <x:v>R Main %</x:v>
      </x:c>
      <x:c r="P3" s="22" t="str">
        <x:v>Z0 Main %</x:v>
      </x:c>
      <x:c r="Q3" s="22" t="str">
        <x:v>Tap Type</x:v>
      </x:c>
      <x:c r="R3" s="22" t="str">
        <x:v>Tap Range / Step</x:v>
      </x:c>
      <x:c r="S3" s="22" t="str">
        <x:v>Status</x:v>
      </x:c>
      <x:c r="T3" s="22" t="str">
        <x:v>Source File</x:v>
      </x:c>
      <x:c r="U3" s="22" t="str">
        <x:v>Page</x:v>
      </x:c>
      <x:c r="V3" s="22" t="str">
        <x:v>Notes</x:v>
      </x:c>
    </x:row>
    <x:row r="4">
      <x:c r="A4" s="23" t="str">
        <x:v>T1</x:v>
      </x:c>
      <x:c r="B4" s="23" t="str">
        <x:v>10BAT10</x:v>
      </x:c>
      <x:c r="C4" s="23" t="str">
        <x:v>GSUT</x:v>
      </x:c>
      <x:c r="D4" s="23" t="str">
        <x:v>BUS 1/2</x:v>
      </x:c>
      <x:c r="E4" s="23" t="str">
        <x:v>GENERATOR / 22 kV</x:v>
      </x:c>
      <x:c r="F4" s="23" t="str"/>
      <x:c r="G4" s="32" t="n">
        <x:v>355</x:v>
      </x:c>
      <x:c r="H4" s="32" t="n">
        <x:v>460</x:v>
      </x:c>
      <x:c r="I4" s="32" t="n">
        <x:v>515</x:v>
      </x:c>
      <x:c r="J4" s="32" t="n">
        <x:v>230</x:v>
      </x:c>
      <x:c r="K4" s="32" t="n">
        <x:v>22</x:v>
      </x:c>
      <x:c r="L4" s="32" t="str"/>
      <x:c r="M4" s="32" t="str">
        <x:v>YNd1</x:v>
      </x:c>
      <x:c r="N4" s="32" t="n">
        <x:v>16</x:v>
      </x:c>
      <x:c r="O4" s="32" t="n">
        <x:v>0.21</x:v>
      </x:c>
      <x:c r="P4" s="32" t="n">
        <x:v>15.8</x:v>
      </x:c>
      <x:c r="Q4" s="23" t="str">
        <x:v>OLTC</x:v>
      </x:c>
      <x:c r="R4" s="23" t="str">
        <x:v>+8×1.25% / -16×1.25%</x:v>
      </x:c>
      <x:c r="S4" s="23" t="str">
        <x:v>CONFIRMED</x:v>
      </x:c>
      <x:c r="T4" s="23" t="str">
        <x:v>GSUT Data Sheet_South.pdf</x:v>
      </x:c>
      <x:c r="U4" s="23" t="str">
        <x:v>p.3-4; Nameplate p.3</x:v>
      </x:c>
      <x:c r="V4" s="23" t="str">
        <x:v>Main tap Z=16%, R=0.21%; Um HV=245 kV, not bus voltage.</x:v>
      </x:c>
    </x:row>
    <x:row r="5">
      <x:c r="A5" s="23" t="str">
        <x:v>T2</x:v>
      </x:c>
      <x:c r="B5" s="23" t="str">
        <x:v>10BBT10</x:v>
      </x:c>
      <x:c r="C5" s="23" t="str">
        <x:v>UAT</x:v>
      </x:c>
      <x:c r="D5" s="23" t="str">
        <x:v>GENERATOR / 22 kV</x:v>
      </x:c>
      <x:c r="E5" s="23" t="str">
        <x:v>MV BUSBAR / 6.6 kV</x:v>
      </x:c>
      <x:c r="F5" s="23" t="str"/>
      <x:c r="G5" s="32" t="n">
        <x:v>19</x:v>
      </x:c>
      <x:c r="H5" s="32" t="n">
        <x:v>25</x:v>
      </x:c>
      <x:c r="I5" s="32" t="str"/>
      <x:c r="J5" s="32" t="n">
        <x:v>22</x:v>
      </x:c>
      <x:c r="K5" s="32" t="n">
        <x:v>6.9</x:v>
      </x:c>
      <x:c r="L5" s="32" t="str"/>
      <x:c r="M5" s="32" t="str">
        <x:v>Dyn11</x:v>
      </x:c>
      <x:c r="N5" s="32" t="n">
        <x:v>10.5</x:v>
      </x:c>
      <x:c r="O5" s="32" t="n">
        <x:v>0.4</x:v>
      </x:c>
      <x:c r="P5" s="32" t="n">
        <x:v>9.3</x:v>
      </x:c>
      <x:c r="Q5" s="23" t="str">
        <x:v>Off-load</x:v>
      </x:c>
      <x:c r="R5" s="23" t="str">
        <x:v>5 positions; 1.25% steps</x:v>
      </x:c>
      <x:c r="S5" s="23" t="str">
        <x:v>CONFIRMED</x:v>
      </x:c>
      <x:c r="T5" s="23" t="str">
        <x:v>UAT Data Sheet_South(1).pdf</x:v>
      </x:c>
      <x:c r="U5" s="23" t="str">
        <x:v>p.4-5; p.18</x:v>
      </x:c>
      <x:c r="V5" s="23" t="str">
        <x:v>LV winding rated 6.9 kV; plant MV bus 6.6 kV.</x:v>
      </x:c>
    </x:row>
    <x:row r="6">
      <x:c r="A6" s="23" t="str">
        <x:v>T3</x:v>
      </x:c>
      <x:c r="B6" s="23" t="str">
        <x:v>10BBT20</x:v>
      </x:c>
      <x:c r="C6" s="23" t="str">
        <x:v>GAT</x:v>
      </x:c>
      <x:c r="D6" s="23" t="str">
        <x:v>BUS 1/2</x:v>
      </x:c>
      <x:c r="E6" s="23" t="str">
        <x:v>MV BUSBAR / 6.6 kV</x:v>
      </x:c>
      <x:c r="F6" s="23" t="str">
        <x:v>3.32 kV</x:v>
      </x:c>
      <x:c r="G6" s="32" t="n">
        <x:v>19</x:v>
      </x:c>
      <x:c r="H6" s="32" t="n">
        <x:v>25</x:v>
      </x:c>
      <x:c r="I6" s="32" t="str"/>
      <x:c r="J6" s="32" t="n">
        <x:v>230</x:v>
      </x:c>
      <x:c r="K6" s="32" t="n">
        <x:v>6.9</x:v>
      </x:c>
      <x:c r="L6" s="32" t="n">
        <x:v>3.32</x:v>
      </x:c>
      <x:c r="M6" s="32" t="str">
        <x:v>YNyn0+d11</x:v>
      </x:c>
      <x:c r="N6" s="32" t="n">
        <x:v>12</x:v>
      </x:c>
      <x:c r="O6" s="32" t="n">
        <x:v>0.5</x:v>
      </x:c>
      <x:c r="P6" s="32" t="n">
        <x:v>10.8</x:v>
      </x:c>
      <x:c r="Q6" s="23" t="str">
        <x:v>OLTC</x:v>
      </x:c>
      <x:c r="R6" s="23" t="str">
        <x:v>25 positions; 1.25% steps</x:v>
      </x:c>
      <x:c r="S6" s="23" t="str">
        <x:v>CONFIRMED</x:v>
      </x:c>
      <x:c r="T6" s="23" t="str">
        <x:v>UAT Data Sheet_South(1).pdf</x:v>
      </x:c>
      <x:c r="U6" s="23" t="str">
        <x:v>p.14-15; p.18</x:v>
      </x:c>
      <x:c r="V6" s="23" t="str">
        <x:v>Three-winding; HV Um 245 kV.</x:v>
      </x:c>
    </x:row>
    <x:row r="7">
      <x:c r="G7" s="38"/>
      <x:c r="H7" s="38"/>
      <x:c r="I7" s="38"/>
      <x:c r="J7" s="38"/>
      <x:c r="K7" s="38"/>
      <x:c r="L7" s="38"/>
      <x:c r="M7" s="38"/>
      <x:c r="N7" s="38"/>
      <x:c r="O7" s="38"/>
      <x:c r="P7" s="38"/>
    </x:row>
    <x:row r="8">
      <x:c r="G8" s="38"/>
      <x:c r="H8" s="38"/>
      <x:c r="I8" s="38"/>
      <x:c r="J8" s="38"/>
      <x:c r="K8" s="38"/>
      <x:c r="L8" s="38"/>
      <x:c r="M8" s="38"/>
      <x:c r="N8" s="38"/>
      <x:c r="O8" s="38"/>
      <x:c r="P8" s="38"/>
    </x:row>
    <x:row r="9">
      <x:c r="G9" s="38"/>
      <x:c r="H9" s="38"/>
      <x:c r="I9" s="38"/>
      <x:c r="J9" s="38"/>
      <x:c r="K9" s="38"/>
      <x:c r="L9" s="38"/>
      <x:c r="M9" s="38"/>
      <x:c r="N9" s="38"/>
      <x:c r="O9" s="38"/>
      <x:c r="P9" s="38"/>
    </x:row>
    <x:row r="10"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</x:row>
  </x:sheetData>
  <x:mergeCells>
    <x:mergeCell ref="A1:V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36" hidden="0" customWidth="1"/>
  </x:cols>
  <x:sheetData>
    <x:row r="1" ht="24" customHeight="1">
      <x:c r="A1" s="5" t="str">
        <x:v>Auxiliary Transformer Catalogue — Exact SLD Tags</x:v>
      </x:c>
    </x:row>
    <x:row r="3" ht="36" customHeight="1">
      <x:c r="A3" s="22" t="str">
        <x:v>Extra ID / SLD Tag</x:v>
      </x:c>
      <x:c r="B3" s="22" t="str">
        <x:v>From kV</x:v>
      </x:c>
      <x:c r="C3" s="22" t="str">
        <x:v>To kV</x:v>
      </x:c>
      <x:c r="D3" s="22" t="str">
        <x:v>Rating</x:v>
      </x:c>
      <x:c r="E3" s="22" t="str">
        <x:v>Vector</x:v>
      </x:c>
      <x:c r="F3" s="22" t="str">
        <x:v>Z</x:v>
      </x:c>
      <x:c r="G3" s="22" t="str">
        <x:v>Status</x:v>
      </x:c>
      <x:c r="H3" s="22" t="str">
        <x:v>Source</x:v>
      </x:c>
      <x:c r="I3" s="22" t="str">
        <x:v>Page</x:v>
      </x:c>
      <x:c r="J3" s="22" t="str">
        <x:v>Notes</x:v>
      </x:c>
    </x:row>
    <x:row r="4">
      <x:c r="A4" s="23" t="str">
        <x:v>10BFT10</x:v>
      </x:c>
      <x:c r="B4" s="23" t="str">
        <x:v>6.6</x:v>
      </x:c>
      <x:c r="C4" s="23" t="str">
        <x:v>0.42</x:v>
      </x:c>
      <x:c r="D4" s="23" t="str">
        <x:v>2500 kVA ONAN</x:v>
      </x:c>
      <x:c r="E4" s="23" t="str">
        <x:v>Dyn11</x:v>
      </x:c>
      <x:c r="F4" s="23" t="str">
        <x:v>6%</x:v>
      </x:c>
      <x:c r="G4" s="23" t="str">
        <x:v>CONFIRMED</x:v>
      </x:c>
      <x:c r="H4" s="23" t="str">
        <x:v>Main Electrical SLD</x:v>
      </x:c>
      <x:c r="I4" s="23" t="str">
        <x:v>p.2</x:v>
      </x:c>
      <x:c r="J4" s="23" t="str">
        <x:v>Unit auxiliary LV transformer.</x:v>
      </x:c>
    </x:row>
    <x:row r="5">
      <x:c r="A5" s="23" t="str">
        <x:v>10BFT20</x:v>
      </x:c>
      <x:c r="B5" s="23" t="str">
        <x:v>6.6</x:v>
      </x:c>
      <x:c r="C5" s="23" t="str">
        <x:v>0.42</x:v>
      </x:c>
      <x:c r="D5" s="23" t="str">
        <x:v>2500 kVA ONAN</x:v>
      </x:c>
      <x:c r="E5" s="23" t="str">
        <x:v>Dyn11</x:v>
      </x:c>
      <x:c r="F5" s="23" t="str">
        <x:v>6%</x:v>
      </x:c>
      <x:c r="G5" s="23" t="str">
        <x:v>CONFIRMED</x:v>
      </x:c>
      <x:c r="H5" s="23" t="str">
        <x:v>Main Electrical SLD</x:v>
      </x:c>
      <x:c r="I5" s="23" t="str">
        <x:v>p.2</x:v>
      </x:c>
      <x:c r="J5" s="23" t="str">
        <x:v>Unit auxiliary LV transformer.</x:v>
      </x:c>
    </x:row>
    <x:row r="6">
      <x:c r="A6" s="23" t="str">
        <x:v>10BFT30</x:v>
      </x:c>
      <x:c r="B6" s="23" t="str">
        <x:v>6.6</x:v>
      </x:c>
      <x:c r="C6" s="23" t="str">
        <x:v>0.42</x:v>
      </x:c>
      <x:c r="D6" s="23" t="str">
        <x:v>1000 kVA</x:v>
      </x:c>
      <x:c r="E6" s="23" t="str">
        <x:v>Dyn1</x:v>
      </x:c>
      <x:c r="F6" s="23" t="str">
        <x:v>6%</x:v>
      </x:c>
      <x:c r="G6" s="23" t="str">
        <x:v>CONFIRMED</x:v>
      </x:c>
      <x:c r="H6" s="23" t="str">
        <x:v>Main Electrical SLD</x:v>
      </x:c>
      <x:c r="I6" s="23" t="str">
        <x:v>p.2</x:v>
      </x:c>
      <x:c r="J6" s="23" t="str">
        <x:v>Station SWGR transformer.</x:v>
      </x:c>
    </x:row>
    <x:row r="7">
      <x:c r="A7" s="23" t="str">
        <x:v>00BFT10</x:v>
      </x:c>
      <x:c r="B7" s="23" t="str">
        <x:v>6.6</x:v>
      </x:c>
      <x:c r="C7" s="23" t="str">
        <x:v>0.42</x:v>
      </x:c>
      <x:c r="D7" s="23" t="str">
        <x:v>1000 kVA</x:v>
      </x:c>
      <x:c r="E7" s="23" t="str">
        <x:v>Dyn1</x:v>
      </x:c>
      <x:c r="F7" s="23" t="str">
        <x:v>6%</x:v>
      </x:c>
      <x:c r="G7" s="23" t="str">
        <x:v>CONFIRMED</x:v>
      </x:c>
      <x:c r="H7" s="23" t="str">
        <x:v>Main Electrical SLD</x:v>
      </x:c>
      <x:c r="I7" s="23" t="str">
        <x:v>p.2</x:v>
      </x:c>
      <x:c r="J7" s="23" t="str">
        <x:v>Water-intake transformer.</x:v>
      </x:c>
    </x:row>
    <x:row r="8">
      <x:c r="A8" s="23" t="str">
        <x:v>10MKC01</x:v>
      </x:c>
      <x:c r="B8" s="23" t="str">
        <x:v>6.6</x:v>
      </x:c>
      <x:c r="C8" s="23" t="str">
        <x:v>2.5</x:v>
      </x:c>
      <x:c r="D8" s="23" t="str">
        <x:v>3550 kVA AN</x:v>
      </x:c>
      <x:c r="E8" s="23" t="str">
        <x:v>Dy5</x:v>
      </x:c>
      <x:c r="F8" s="23" t="str">
        <x:v>6%</x:v>
      </x:c>
      <x:c r="G8" s="23" t="str">
        <x:v>CONFIRMED</x:v>
      </x:c>
      <x:c r="H8" s="23" t="str">
        <x:v>Main Electrical SLD</x:v>
      </x:c>
      <x:c r="I8" s="23" t="str">
        <x:v>p.2</x:v>
      </x:c>
      <x:c r="J8" s="23" t="str">
        <x:v>Excitation transformer.</x:v>
      </x:c>
    </x:row>
    <x:row r="9">
      <x:c r="A9" s="23" t="str">
        <x:v>10MBJ01</x:v>
      </x:c>
      <x:c r="B9" s="23" t="str">
        <x:v>6.6</x:v>
      </x:c>
      <x:c r="C9" s="23" t="str">
        <x:v>2.5</x:v>
      </x:c>
      <x:c r="D9" s="23" t="str">
        <x:v>3400 kVA AN</x:v>
      </x:c>
      <x:c r="E9" s="23" t="str">
        <x:v>Dy5</x:v>
      </x:c>
      <x:c r="F9" s="23" t="str">
        <x:v>4.7%</x:v>
      </x:c>
      <x:c r="G9" s="23" t="str">
        <x:v>CONFIRMED</x:v>
      </x:c>
      <x:c r="H9" s="23" t="str">
        <x:v>Generation &amp; Transformers System / Main SLD</x:v>
      </x:c>
      <x:c r="I9" s="23" t="str">
        <x:v>G&amp;T p.2; Main SLD p.2</x:v>
      </x:c>
      <x:c r="J9" s="23" t="str">
        <x:v>SFC transformer; resolve detailed LV level from dedicated SFC drawing if needed.</x:v>
      </x:c>
    </x:row>
    <x:row r="10">
      <x:c r="A10" s="23" t="str">
        <x:v>10BNT10</x:v>
      </x:c>
      <x:c r="B10" s="23" t="str">
        <x:v>0.4</x:v>
      </x:c>
      <x:c r="C10" s="23" t="str">
        <x:v>0.23</x:v>
      </x:c>
      <x:c r="D10" s="23" t="str">
        <x:v>100 kVA AN</x:v>
      </x:c>
      <x:c r="E10" s="23" t="str">
        <x:v>Dyn1</x:v>
      </x:c>
      <x:c r="F10" s="23" t="str"/>
      <x:c r="G10" s="23" t="str">
        <x:v>CONFIRMED</x:v>
      </x:c>
      <x:c r="H10" s="23" t="str">
        <x:v>Main Electrical SLD</x:v>
      </x:c>
      <x:c r="I10" s="23" t="str">
        <x:v>p.2</x:v>
      </x:c>
      <x:c r="J10" s="23" t="str">
        <x:v>Lighting transformer.</x:v>
      </x:c>
    </x:row>
    <x:row r="11">
      <x:c r="A11" s="23" t="str">
        <x:v>10BRT10</x:v>
      </x:c>
      <x:c r="B11" s="23" t="str">
        <x:v>0.4</x:v>
      </x:c>
      <x:c r="C11" s="23" t="str">
        <x:v>0.23</x:v>
      </x:c>
      <x:c r="D11" s="23" t="str">
        <x:v>40 kVA</x:v>
      </x:c>
      <x:c r="E11" s="23" t="str"/>
      <x:c r="F11" s="23" t="str"/>
      <x:c r="G11" s="23" t="str">
        <x:v>CONFIRMED</x:v>
      </x:c>
      <x:c r="H11" s="23" t="str">
        <x:v>Main Electrical SLD</x:v>
      </x:c>
      <x:c r="I11" s="23" t="str">
        <x:v>p.2</x:v>
      </x:c>
      <x:c r="J11" s="23" t="str">
        <x:v>Aux/control transformer.</x:v>
      </x:c>
    </x:row>
    <x:row r="12">
      <x:c r="A12" s="23" t="str">
        <x:v>10BRT20</x:v>
      </x:c>
      <x:c r="B12" s="23" t="str">
        <x:v>0.4</x:v>
      </x:c>
      <x:c r="C12" s="23" t="str">
        <x:v>0.23</x:v>
      </x:c>
      <x:c r="D12" s="23" t="str">
        <x:v>40 kVA</x:v>
      </x:c>
      <x:c r="E12" s="23" t="str"/>
      <x:c r="F12" s="23" t="str"/>
      <x:c r="G12" s="23" t="str">
        <x:v>CONFIRMED</x:v>
      </x:c>
      <x:c r="H12" s="23" t="str">
        <x:v>Main Electrical SLD</x:v>
      </x:c>
      <x:c r="I12" s="23" t="str">
        <x:v>p.2</x:v>
      </x:c>
      <x:c r="J12" s="23" t="str">
        <x:v>Aux/control transformer.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18" hidden="0" customWidth="1"/>
    <x:col min="17" max="17" width="36" hidden="0" customWidth="1"/>
  </x:cols>
  <x:sheetData>
    <x:row r="1" ht="24" customHeight="1">
      <x:c r="A1" s="5" t="str">
        <x:v>PSAF Lines / Cables — Engineer Data</x:v>
      </x:c>
    </x:row>
    <x:row r="3" ht="36" customHeight="1">
      <x:c r="A3" s="22" t="str">
        <x:v>ID</x:v>
      </x:c>
      <x:c r="B3" s="22" t="str">
        <x:v>Extra ID / SLD Ref</x:v>
      </x:c>
      <x:c r="C3" s="22" t="str">
        <x:v>From</x:v>
      </x:c>
      <x:c r="D3" s="22" t="str">
        <x:v>To</x:v>
      </x:c>
      <x:c r="E3" s="22" t="str">
        <x:v>Nominal kV</x:v>
      </x:c>
      <x:c r="F3" s="22" t="str">
        <x:v>Type</x:v>
      </x:c>
      <x:c r="G3" s="22" t="str">
        <x:v>Length km</x:v>
      </x:c>
      <x:c r="H3" s="22" t="str">
        <x:v>R1 Ω/km</x:v>
      </x:c>
      <x:c r="I3" s="22" t="str">
        <x:v>X1 Ω/km</x:v>
      </x:c>
      <x:c r="J3" s="22" t="str">
        <x:v>B1 µS/km</x:v>
      </x:c>
      <x:c r="K3" s="22" t="str">
        <x:v>R0 Ω/km</x:v>
      </x:c>
      <x:c r="L3" s="22" t="str">
        <x:v>X0 Ω/km</x:v>
      </x:c>
      <x:c r="M3" s="22" t="str">
        <x:v>B0 µS/km</x:v>
      </x:c>
      <x:c r="N3" s="22" t="str">
        <x:v>Status</x:v>
      </x:c>
      <x:c r="O3" s="22" t="str">
        <x:v>Source</x:v>
      </x:c>
      <x:c r="P3" s="22" t="str">
        <x:v>Page</x:v>
      </x:c>
      <x:c r="Q3" s="22" t="str">
        <x:v>Notes</x:v>
      </x:c>
    </x:row>
    <x:row r="4">
      <x:c r="A4" s="23" t="str">
        <x:v>L230</x:v>
      </x:c>
      <x:c r="B4" s="23" t="str">
        <x:v>XLPE CABLE 230 kV</x:v>
      </x:c>
      <x:c r="C4" s="23" t="str">
        <x:v>BUS 1/2</x:v>
      </x:c>
      <x:c r="D4" s="23" t="str">
        <x:v>External 230-kV Grid</x:v>
      </x:c>
      <x:c r="E4" s="23" t="n">
        <x:v>230</x:v>
      </x:c>
      <x:c r="F4" s="23" t="str">
        <x:v>XLPE cable</x:v>
      </x:c>
      <x:c r="G4" s="23" t="str"/>
      <x:c r="H4" s="23" t="str"/>
      <x:c r="I4" s="23" t="str"/>
      <x:c r="J4" s="23" t="str"/>
      <x:c r="K4" s="23" t="str"/>
      <x:c r="L4" s="23" t="str"/>
      <x:c r="M4" s="23" t="str"/>
      <x:c r="N4" s="23" t="str">
        <x:v>PARTIAL</x:v>
      </x:c>
      <x:c r="O4" s="23" t="str">
        <x:v>Main Electrical SLD / G&amp;T System</x:v>
      </x:c>
      <x:c r="P4" s="23" t="str">
        <x:v>Main SLD p.2; G&amp;T p.2</x:v>
      </x:c>
      <x:c r="Q4" s="23" t="str">
        <x:v>Length and electrical impedance data not supplied in reviewed plant documents.</x:v>
      </x:c>
    </x:row>
    <x:row r="5">
      <x:c r="A5" s="23" t="str">
        <x:v>L400_REF</x:v>
      </x:c>
      <x:c r="B5" s="23" t="str">
        <x:v>OUTGOING CIRCUIT — APSCL FORM</x:v>
      </x:c>
      <x:c r="C5" s="23" t="str"/>
      <x:c r="D5" s="23" t="str"/>
      <x:c r="E5" s="23" t="n">
        <x:v>400</x:v>
      </x:c>
      <x:c r="F5" s="23" t="str">
        <x:v>Transmission line</x:v>
      </x:c>
      <x:c r="G5" s="23" t="n">
        <x:v>70</x:v>
      </x:c>
      <x:c r="H5" s="23" t="str"/>
      <x:c r="I5" s="23" t="str"/>
      <x:c r="J5" s="23" t="str">
        <x:v>3.4011</x:v>
      </x:c>
      <x:c r="K5" s="23" t="str">
        <x:v>0.06667</x:v>
      </x:c>
      <x:c r="L5" s="23" t="str">
        <x:v>0.39472</x:v>
      </x:c>
      <x:c r="M5" s="23" t="str"/>
      <x:c r="N5" s="23" t="str">
        <x:v>PARTIAL</x:v>
      </x:c>
      <x:c r="O5" s="23" t="str">
        <x:v>Google Sheet Form_Filled Up By APSCL.pdf</x:v>
      </x:c>
      <x:c r="P5" s="23" t="str">
        <x:v>p.2-3</x:v>
      </x:c>
      <x:c r="Q5" s="23" t="str">
        <x:v>Form gives 70 km, R0, X0, B1 as Verified Plant Value; exact line identity and R1/X1 are not established.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18" hidden="0" customWidth="1"/>
    <x:col min="12" max="12" width="36" hidden="0" customWidth="1"/>
  </x:cols>
  <x:sheetData>
    <x:row r="1" ht="24" customHeight="1">
      <x:c r="A1" s="5" t="str">
        <x:v>PSAF Load Input — Engineer Data</x:v>
      </x:c>
    </x:row>
    <x:row r="3" ht="36" customHeight="1">
      <x:c r="A3" s="22" t="str">
        <x:v>Load ID</x:v>
      </x:c>
      <x:c r="B3" s="22" t="str">
        <x:v>Bus Extra ID</x:v>
      </x:c>
      <x:c r="C3" s="22" t="str">
        <x:v>Load Name</x:v>
      </x:c>
      <x:c r="D3" s="22" t="str">
        <x:v>P MW</x:v>
      </x:c>
      <x:c r="E3" s="22" t="str">
        <x:v>Q MVAr</x:v>
      </x:c>
      <x:c r="F3" s="22" t="str">
        <x:v>MVA</x:v>
      </x:c>
      <x:c r="G3" s="22" t="str">
        <x:v>PF</x:v>
      </x:c>
      <x:c r="H3" s="22" t="str">
        <x:v>Model</x:v>
      </x:c>
      <x:c r="I3" s="22" t="str">
        <x:v>Status</x:v>
      </x:c>
      <x:c r="J3" s="22" t="str">
        <x:v>Source</x:v>
      </x:c>
      <x:c r="K3" s="22" t="str">
        <x:v>Page</x:v>
      </x:c>
      <x:c r="L3" s="22" t="str">
        <x:v>Notes</x:v>
      </x:c>
    </x:row>
    <x:row r="4">
      <x:c r="A4" s="23" t="str">
        <x:v>LD_AUX</x:v>
      </x:c>
      <x:c r="B4" s="23" t="str">
        <x:v>MV BUSBAR</x:v>
      </x:c>
      <x:c r="C4" s="23" t="str">
        <x:v>Station auxiliary demand</x:v>
      </x:c>
      <x:c r="D4" s="32" t="n">
        <x:v>14</x:v>
      </x:c>
      <x:c r="E4" s="32" t="n">
        <x:f>D4*TAN(ACOS(G4))</x:f>
        <x:v>8.676420737643433</x:v>
      </x:c>
      <x:c r="F4" s="32" t="n">
        <x:f>SQRT(D4^2+E4^2)</x:f>
        <x:v>16.470588235294116</x:v>
      </x:c>
      <x:c r="G4" s="23" t="n">
        <x:v>0.85</x:v>
      </x:c>
      <x:c r="H4" s="23" t="str">
        <x:v>PQ aggregate</x:v>
      </x:c>
      <x:c r="I4" s="23" t="str">
        <x:v>CONFIRMED P/PF; Q/MVA derived</x:v>
      </x:c>
      <x:c r="J4" s="23" t="str">
        <x:v>Google Sheet Form_Filled Up By APSCL.pdf</x:v>
      </x:c>
      <x:c r="K4" s="23" t="str">
        <x:v>p.2</x:v>
      </x:c>
      <x:c r="L4" s="23" t="str">
        <x:v>14 MW @ 0.85 pf. Q and MVA are formula-derived in this workbook.</x:v>
      </x:c>
    </x:row>
    <x:row r="5">
      <x:c r="A5" s="23" t="str">
        <x:v>LD_DETAILED</x:v>
      </x:c>
      <x:c r="B5" s="23" t="str">
        <x:v>MCC / LV boards</x:v>
      </x:c>
      <x:c r="C5" s="23" t="str">
        <x:v>Individual MCC / motor / plant groups</x:v>
      </x:c>
      <x:c r="D5" s="23" t="str"/>
      <x:c r="E5" s="23" t="str"/>
      <x:c r="F5" s="23" t="str"/>
      <x:c r="G5" s="23" t="str"/>
      <x:c r="H5" s="23" t="str">
        <x:v>PQ or Motor</x:v>
      </x:c>
      <x:c r="I5" s="23" t="str">
        <x:v>MISSING</x:v>
      </x:c>
      <x:c r="J5" s="23" t="str">
        <x:v>Main Electrical SLD</x:v>
      </x:c>
      <x:c r="K5" s="23" t="str">
        <x:v>p.2</x:v>
      </x:c>
      <x:c r="L5" s="23" t="str">
        <x:v>SLD identifies groups but does not give complete operating MW/MVAr.</x:v>
      </x:c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18" hidden="0" customWidth="1"/>
    <x:col min="12" max="12" width="36" hidden="0" customWidth="1"/>
  </x:cols>
  <x:sheetData>
    <x:row r="1" ht="24" customHeight="1">
      <x:c r="A1" s="5" t="str">
        <x:v>PSAF Motor Data — Engineer-Sourced / Missing Where Not Supplied</x:v>
      </x:c>
    </x:row>
    <x:row r="3" ht="36" customHeight="1">
      <x:c r="A3" s="22" t="str">
        <x:v>Motor Group</x:v>
      </x:c>
      <x:c r="B3" s="22" t="str">
        <x:v>Bus</x:v>
      </x:c>
      <x:c r="C3" s="22" t="str">
        <x:v>Voltage kV</x:v>
      </x:c>
      <x:c r="D3" s="22" t="str">
        <x:v>Power rule / rated power</x:v>
      </x:c>
      <x:c r="E3" s="22" t="str">
        <x:v>Specific kW</x:v>
      </x:c>
      <x:c r="F3" s="22" t="str">
        <x:v>PF</x:v>
      </x:c>
      <x:c r="G3" s="22" t="str">
        <x:v>Efficiency</x:v>
      </x:c>
      <x:c r="H3" s="22" t="str">
        <x:v>Start data</x:v>
      </x:c>
      <x:c r="I3" s="22" t="str">
        <x:v>Status</x:v>
      </x:c>
      <x:c r="J3" s="22" t="str">
        <x:v>Source</x:v>
      </x:c>
      <x:c r="K3" s="22" t="str">
        <x:v>Page</x:v>
      </x:c>
      <x:c r="L3" s="22" t="str">
        <x:v>Notes</x:v>
      </x:c>
    </x:row>
    <x:row r="4">
      <x:c r="A4" s="23" t="str">
        <x:v>Large MV motors</x:v>
      </x:c>
      <x:c r="B4" s="23" t="str">
        <x:v>MV BUSBAR</x:v>
      </x:c>
      <x:c r="C4" s="23" t="n">
        <x:v>6.6</x:v>
      </x:c>
      <x:c r="D4" s="23" t="str">
        <x:v>P &gt; 200 kW</x:v>
      </x:c>
      <x:c r="E4" s="23" t="str"/>
      <x:c r="F4" s="23" t="str"/>
      <x:c r="G4" s="23" t="str"/>
      <x:c r="H4" s="23" t="str"/>
      <x:c r="I4" s="23" t="str">
        <x:v>PARTIAL</x:v>
      </x:c>
      <x:c r="J4" s="23" t="str">
        <x:v>Main Electrical SLD</x:v>
      </x:c>
      <x:c r="K4" s="23" t="str">
        <x:v>p.1</x:v>
      </x:c>
      <x:c r="L4" s="23" t="str">
        <x:v>Project note: 6.6-kV switchgear P&gt;200 kW; individual motor data not supplied.</x:v>
      </x:c>
    </x:row>
    <x:row r="5">
      <x:c r="A5" s="23" t="str">
        <x:v>LV switchgear motors</x:v>
      </x:c>
      <x:c r="B5" s="23" t="str">
        <x:v>UNIT AUX SWGR-1 / UNIT AUX SWGR-2 / STATION SWGR</x:v>
      </x:c>
      <x:c r="C5" s="23" t="n">
        <x:v>0.4</x:v>
      </x:c>
      <x:c r="D5" s="23" t="str">
        <x:v>75 &lt; P ≤ 200 kW</x:v>
      </x:c>
      <x:c r="E5" s="23" t="str"/>
      <x:c r="F5" s="23" t="str"/>
      <x:c r="G5" s="23" t="str"/>
      <x:c r="H5" s="23" t="str"/>
      <x:c r="I5" s="23" t="str">
        <x:v>PARTIAL</x:v>
      </x:c>
      <x:c r="J5" s="23" t="str">
        <x:v>Main Electrical SLD</x:v>
      </x:c>
      <x:c r="K5" s="23" t="str">
        <x:v>p.1</x:v>
      </x:c>
      <x:c r="L5" s="23" t="str">
        <x:v>Project note: 400-V switchgear 75&lt;P≤200 kW.</x:v>
      </x:c>
    </x:row>
    <x:row r="6">
      <x:c r="A6" s="23" t="str">
        <x:v>LV MCC motors</x:v>
      </x:c>
      <x:c r="B6" s="23" t="str">
        <x:v>400-V MCCs</x:v>
      </x:c>
      <x:c r="C6" s="23" t="n">
        <x:v>0.4</x:v>
      </x:c>
      <x:c r="D6" s="23" t="str">
        <x:v>P ≤ 75 kW</x:v>
      </x:c>
      <x:c r="E6" s="23" t="str"/>
      <x:c r="F6" s="23" t="str"/>
      <x:c r="G6" s="23" t="str"/>
      <x:c r="H6" s="23" t="str"/>
      <x:c r="I6" s="23" t="str">
        <x:v>PARTIAL</x:v>
      </x:c>
      <x:c r="J6" s="23" t="str">
        <x:v>Main Electrical SLD</x:v>
      </x:c>
      <x:c r="K6" s="23" t="str">
        <x:v>p.1</x:v>
      </x:c>
      <x:c r="L6" s="23" t="str">
        <x:v>Project note: 400-V MCCs P≤75 kW.</x:v>
      </x:c>
    </x:row>
    <x:row r="7">
      <x:c r="A7" s="23" t="str">
        <x:v>GSUT cooling fans</x:v>
      </x:c>
      <x:c r="B7" s="23" t="str">
        <x:v>GSUT auxiliary</x:v>
      </x:c>
      <x:c r="C7" s="23" t="n">
        <x:v>0.4</x:v>
      </x:c>
      <x:c r="D7" s="23" t="str">
        <x:v>0.25 kW per fan</x:v>
      </x:c>
      <x:c r="E7" s="23" t="n">
        <x:v>0.25</x:v>
      </x:c>
      <x:c r="F7" s="23" t="str"/>
      <x:c r="G7" s="23" t="str"/>
      <x:c r="H7" s="23" t="str"/>
      <x:c r="I7" s="23" t="str">
        <x:v>CONFIRMED</x:v>
      </x:c>
      <x:c r="J7" s="23" t="str">
        <x:v>GSUT Data Sheet_South.pdf</x:v>
      </x:c>
      <x:c r="K7" s="23" t="str">
        <x:v>p.5</x:v>
      </x:c>
      <x:c r="L7" s="23" t="str">
        <x:v>Rated 400 V, 3-phase, 50 Hz; two independent groups; n+1 fan arrangement.</x:v>
      </x:c>
    </x:row>
  </x:sheetData>
  <x:mergeCells>
    <x:mergeCell ref="A1:L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  <x:col min="12" max="12" width="18" hidden="0" customWidth="1"/>
    <x:col min="13" max="13" width="36" hidden="0" customWidth="1"/>
  </x:cols>
  <x:sheetData>
    <x:row r="1" ht="24" customHeight="1">
      <x:c r="A1" s="5" t="str">
        <x:v>External Grid / Equivalent — Engineer Data</x:v>
      </x:c>
    </x:row>
    <x:row r="3" ht="36" customHeight="1">
      <x:c r="A3" s="22" t="str">
        <x:v>Grid Source</x:v>
      </x:c>
      <x:c r="B3" s="22" t="str">
        <x:v>Nominal kV</x:v>
      </x:c>
      <x:c r="C3" s="22" t="str">
        <x:v>X Ω</x:v>
      </x:c>
      <x:c r="D3" s="22" t="str">
        <x:v>3-Φ fault kA</x:v>
      </x:c>
      <x:c r="E3" s="22" t="str">
        <x:v>Ssc GVA</x:v>
      </x:c>
      <x:c r="F3" s="22" t="str">
        <x:v>R Ω</x:v>
      </x:c>
      <x:c r="G3" s="22" t="str">
        <x:v>X/R</x:v>
      </x:c>
      <x:c r="H3" s="22" t="str">
        <x:v>Z1</x:v>
      </x:c>
      <x:c r="I3" s="22" t="str">
        <x:v>Z0</x:v>
      </x:c>
      <x:c r="J3" s="22" t="str">
        <x:v>Status</x:v>
      </x:c>
      <x:c r="K3" s="22" t="str">
        <x:v>Source</x:v>
      </x:c>
      <x:c r="L3" s="22" t="str">
        <x:v>Page</x:v>
      </x:c>
      <x:c r="M3" s="22" t="str">
        <x:v>Notes</x:v>
      </x:c>
    </x:row>
    <x:row r="4">
      <x:c r="A4" s="23" t="str">
        <x:v>EXTERNAL 230-kV GRID</x:v>
      </x:c>
      <x:c r="B4" s="23" t="n">
        <x:v>230</x:v>
      </x:c>
      <x:c r="C4" s="23" t="n">
        <x:v>2.66</x:v>
      </x:c>
      <x:c r="D4" s="23" t="n">
        <x:v>50</x:v>
      </x:c>
      <x:c r="E4" s="23" t="n">
        <x:v>19.919</x:v>
      </x:c>
      <x:c r="F4" s="23" t="str"/>
      <x:c r="G4" s="23" t="str"/>
      <x:c r="H4" s="23" t="str"/>
      <x:c r="I4" s="23" t="str"/>
      <x:c r="J4" s="23" t="str">
        <x:v>CONFIRMED/ESTIMATED</x:v>
      </x:c>
      <x:c r="K4" s="23" t="str">
        <x:v>S001-112070-00-ELC-CL-0002.pdf</x:v>
      </x:c>
      <x:c r="L4" s="23" t="str">
        <x:v>p.7</x:v>
      </x:c>
      <x:c r="M4" s="23" t="str">
        <x:v>Report calls XN estimated. Use as external-grid equivalent reference.</x:v>
      </x:c>
    </x:row>
    <x:row r="5">
      <x:c r="A5" s="23" t="str">
        <x:v>REGIONAL 400-kV GRID</x:v>
      </x:c>
      <x:c r="B5" s="23" t="n">
        <x:v>400</x:v>
      </x:c>
      <x:c r="C5" s="23" t="str"/>
      <x:c r="D5" s="23" t="str"/>
      <x:c r="E5" s="23" t="str"/>
      <x:c r="F5" s="23" t="str"/>
      <x:c r="G5" s="23" t="str"/>
      <x:c r="H5" s="23" t="str"/>
      <x:c r="I5" s="23" t="str"/>
      <x:c r="J5" s="23" t="str">
        <x:v>UNCONFIRMED</x:v>
      </x:c>
      <x:c r="K5" s="23" t="str">
        <x:v>Google Sheet Form_Filled Up By APSCL.pdf</x:v>
      </x:c>
      <x:c r="L5" s="23" t="str">
        <x:v>p.3</x:v>
      </x:c>
      <x:c r="M5" s="23" t="str">
        <x:v>400-kV fault capacity/Z1/Z0 marked Contact PGCB. Do not use typical 10,000 MVA as confirmed.</x:v>
      </x:c>
    </x:row>
  </x:sheetData>
  <x:mergeCells>
    <x:mergeCell ref="A1:M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36" hidden="0" customWidth="1"/>
    <x:col min="7" max="7" width="18" hidden="0" customWidth="1"/>
  </x:cols>
  <x:sheetData>
    <x:row r="1" ht="24" customHeight="1">
      <x:c r="A1" s="5" t="str">
        <x:v>Nominal Voltage vs Equipment Rated / Um Voltage</x:v>
      </x:c>
    </x:row>
    <x:row r="3" ht="36" customHeight="1">
      <x:c r="A3" s="22" t="str">
        <x:v>Equipment/System</x:v>
      </x:c>
      <x:c r="B3" s="22" t="str">
        <x:v>Parameter</x:v>
      </x:c>
      <x:c r="C3" s="22" t="str">
        <x:v>Value</x:v>
      </x:c>
      <x:c r="D3" s="22" t="str">
        <x:v>Meaning</x:v>
      </x:c>
      <x:c r="E3" s="22" t="str">
        <x:v>PSAF use</x:v>
      </x:c>
      <x:c r="F3" s="22" t="str">
        <x:v>Source</x:v>
      </x:c>
      <x:c r="G3" s="22" t="str">
        <x:v>Page</x:v>
      </x:c>
    </x:row>
    <x:row r="4">
      <x:c r="A4" s="23" t="str">
        <x:v>Generator</x:v>
      </x:c>
      <x:c r="B4" s="23" t="str">
        <x:v>Terminal nominal/rated voltage</x:v>
      </x:c>
      <x:c r="C4" s="23" t="str">
        <x:v>22 kV ±5%</x:v>
      </x:c>
      <x:c r="D4" s="23" t="str">
        <x:v>Generator terminal voltage band</x:v>
      </x:c>
      <x:c r="E4" s="23" t="str">
        <x:v>kV Base=22; pu limits 0.95/1.05</x:v>
      </x:c>
      <x:c r="F4" s="23" t="str">
        <x:v>Generator Name Plate_South.pdf</x:v>
      </x:c>
      <x:c r="G4" s="23" t="str">
        <x:v>p.2</x:v>
      </x:c>
    </x:row>
    <x:row r="5">
      <x:c r="A5" s="23" t="str">
        <x:v>230-kV GIS</x:v>
      </x:c>
      <x:c r="B5" s="23" t="str">
        <x:v>Nominal system voltage</x:v>
      </x:c>
      <x:c r="C5" s="23" t="str">
        <x:v>230 kV</x:v>
      </x:c>
      <x:c r="D5" s="23" t="str">
        <x:v>Network/GIS level</x:v>
      </x:c>
      <x:c r="E5" s="23" t="str">
        <x:v>kV Base=230</x:v>
      </x:c>
      <x:c r="F5" s="23" t="str">
        <x:v>GENERATION AND TRANSFORMERS SYSTEM(1).pdf</x:v>
      </x:c>
      <x:c r="G5" s="23" t="str">
        <x:v>p.2</x:v>
      </x:c>
    </x:row>
    <x:row r="6">
      <x:c r="A6" s="23" t="str">
        <x:v>GSUT HV winding</x:v>
      </x:c>
      <x:c r="B6" s="23" t="str">
        <x:v>Rated winding voltage</x:v>
      </x:c>
      <x:c r="C6" s="23" t="str">
        <x:v>230 kV with tap range</x:v>
      </x:c>
      <x:c r="D6" s="23" t="str">
        <x:v>Transformer winding rating</x:v>
      </x:c>
      <x:c r="E6" s="23" t="str">
        <x:v>Transformer HV/tap entry</x:v>
      </x:c>
      <x:c r="F6" s="23" t="str">
        <x:v>GSUT Data Sheet_South.pdf</x:v>
      </x:c>
      <x:c r="G6" s="23" t="str">
        <x:v>p.3-4</x:v>
      </x:c>
    </x:row>
    <x:row r="7">
      <x:c r="A7" s="23" t="str">
        <x:v>GSUT HV equipment</x:v>
      </x:c>
      <x:c r="B7" s="23" t="str">
        <x:v>Highest voltage Um</x:v>
      </x:c>
      <x:c r="C7" s="23" t="str">
        <x:v>245 kV</x:v>
      </x:c>
      <x:c r="D7" s="23" t="str">
        <x:v>Equipment insulation class</x:v>
      </x:c>
      <x:c r="E7" s="23" t="str">
        <x:v>Not bus kV Base</x:v>
      </x:c>
      <x:c r="F7" s="23" t="str">
        <x:v>GSUT Data Sheet_South.pdf</x:v>
      </x:c>
      <x:c r="G7" s="23" t="str">
        <x:v>p.3</x:v>
      </x:c>
    </x:row>
    <x:row r="8">
      <x:c r="A8" s="23" t="str">
        <x:v>UAT LV winding</x:v>
      </x:c>
      <x:c r="B8" s="23" t="str">
        <x:v>Rated winding voltage</x:v>
      </x:c>
      <x:c r="C8" s="23" t="str">
        <x:v>6.9 kV</x:v>
      </x:c>
      <x:c r="D8" s="23" t="str">
        <x:v>Transformer winding rating</x:v>
      </x:c>
      <x:c r="E8" s="23" t="str">
        <x:v>Transformer ratio; not separate bus by itself</x:v>
      </x:c>
      <x:c r="F8" s="23" t="str">
        <x:v>UAT Data Sheet_South(1).pdf</x:v>
      </x:c>
      <x:c r="G8" s="23" t="str">
        <x:v>p.4</x:v>
      </x:c>
    </x:row>
    <x:row r="9">
      <x:c r="A9" s="23" t="str">
        <x:v>Plant MV bus</x:v>
      </x:c>
      <x:c r="B9" s="23" t="str">
        <x:v>Nominal bus voltage</x:v>
      </x:c>
      <x:c r="C9" s="23" t="str">
        <x:v>6.6 kV</x:v>
      </x:c>
      <x:c r="D9" s="23" t="str">
        <x:v>Actual plant MV network</x:v>
      </x:c>
      <x:c r="E9" s="23" t="str">
        <x:v>kV Base=6.6; ±10% from project note</x:v>
      </x:c>
      <x:c r="F9" s="23" t="str">
        <x:v>INEL-112070-00-ELC-DE-0001-REV3.pdf</x:v>
      </x:c>
      <x:c r="G9" s="23" t="str">
        <x:v>p.1-2</x:v>
      </x:c>
    </x:row>
    <x:row r="10">
      <x:c r="A10" s="23" t="str">
        <x:v>UAT LV equipment</x:v>
      </x:c>
      <x:c r="B10" s="23" t="str">
        <x:v>Highest voltage Um</x:v>
      </x:c>
      <x:c r="C10" s="23" t="str">
        <x:v>7.2 kV</x:v>
      </x:c>
      <x:c r="D10" s="23" t="str">
        <x:v>Equipment voltage rating</x:v>
      </x:c>
      <x:c r="E10" s="23" t="str">
        <x:v>Not bus operating limit</x:v>
      </x:c>
      <x:c r="F10" s="23" t="str">
        <x:v>UAT Data Sheet_South(1).pdf</x:v>
      </x:c>
      <x:c r="G10" s="23" t="str">
        <x:v>p.5</x:v>
      </x:c>
    </x:row>
    <x:row r="11">
      <x:c r="A11" s="23" t="str">
        <x:v>GAT HV equipment</x:v>
      </x:c>
      <x:c r="B11" s="23" t="str">
        <x:v>Highest voltage Um</x:v>
      </x:c>
      <x:c r="C11" s="23" t="str">
        <x:v>245 kV</x:v>
      </x:c>
      <x:c r="D11" s="23" t="str">
        <x:v>Equipment voltage rating</x:v>
      </x:c>
      <x:c r="E11" s="23" t="str">
        <x:v>Not bus operating limit</x:v>
      </x:c>
      <x:c r="F11" s="23" t="str">
        <x:v>UAT Data Sheet_South(1).pdf</x:v>
      </x:c>
      <x:c r="G11" s="23" t="str">
        <x:v>p.15</x:v>
      </x:c>
    </x:row>
    <x:row r="12">
      <x:c r="A12" s="23" t="str">
        <x:v>Plant LV bus</x:v>
      </x:c>
      <x:c r="B12" s="23" t="str">
        <x:v>Nominal bus voltage</x:v>
      </x:c>
      <x:c r="C12" s="23" t="str">
        <x:v>400 V</x:v>
      </x:c>
      <x:c r="D12" s="23" t="str">
        <x:v>Auxiliary LV system</x:v>
      </x:c>
      <x:c r="E12" s="23" t="str">
        <x:v>kV Base=0.4; ±10% from project note</x:v>
      </x:c>
      <x:c r="F12" s="23" t="str">
        <x:v>INEL-112070-00-ELC-DE-0001-REV3.pdf</x:v>
      </x:c>
      <x:c r="G12" s="23" t="str">
        <x:v>p.1-2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</x:cols>
  <x:sheetData>
    <x:row r="1" ht="24" customHeight="1">
      <x:c r="A1" s="5" t="str">
        <x:v>PSAF Bus Input Guide</x:v>
      </x:c>
    </x:row>
    <x:row r="3" ht="36" customHeight="1">
      <x:c r="A3" s="22" t="str">
        <x:v>PSAF Field</x:v>
      </x:c>
      <x:c r="B3" s="22" t="str">
        <x:v>Meaning</x:v>
      </x:c>
      <x:c r="C3" s="22" t="str">
        <x:v>Project entry rule</x:v>
      </x:c>
      <x:c r="D3" s="22" t="str">
        <x:v>Source-derived?</x:v>
      </x:c>
      <x:c r="E3" s="22" t="str">
        <x:v>Example</x:v>
      </x:c>
    </x:row>
    <x:row r="4">
      <x:c r="A4" s="23" t="str">
        <x:v>ID</x:v>
      </x:c>
      <x:c r="B4" s="23" t="str">
        <x:v>PSAF internal identifier</x:v>
      </x:c>
      <x:c r="C4" s="23" t="str">
        <x:v>B230_1, B230_2, B22G etc.</x:v>
      </x:c>
      <x:c r="D4" s="23" t="str">
        <x:v>No</x:v>
      </x:c>
      <x:c r="E4" s="23" t="str">
        <x:v>B22G</x:v>
      </x:c>
    </x:row>
    <x:row r="5">
      <x:c r="A5" s="23" t="str">
        <x:v>Extra ID</x:v>
      </x:c>
      <x:c r="B5" s="23" t="str">
        <x:v>External/engineering name</x:v>
      </x:c>
      <x:c r="C5" s="23" t="str">
        <x:v>Use exact SLD bus/node label where shown</x:v>
      </x:c>
      <x:c r="D5" s="23" t="str">
        <x:v>Yes</x:v>
      </x:c>
      <x:c r="E5" s="23" t="str">
        <x:v>BUS 1 / MV BUSBAR</x:v>
      </x:c>
    </x:row>
    <x:row r="6">
      <x:c r="A6" s="23" t="str">
        <x:v>Zone</x:v>
      </x:c>
      <x:c r="B6" s="23" t="str">
        <x:v>Study grouping</x:v>
      </x:c>
      <x:c r="C6" s="23" t="str">
        <x:v>0 for current model unless your project uses another zone</x:v>
      </x:c>
      <x:c r="D6" s="23" t="str">
        <x:v>No</x:v>
      </x:c>
      <x:c r="E6" s="23" t="str">
        <x:v>0</x:v>
      </x:c>
    </x:row>
    <x:row r="7">
      <x:c r="A7" s="23" t="str">
        <x:v>Status</x:v>
      </x:c>
      <x:c r="B7" s="23" t="str">
        <x:v>Enable/disable</x:v>
      </x:c>
      <x:c r="C7" s="23" t="str">
        <x:v>TRUE for in-service model</x:v>
      </x:c>
      <x:c r="D7" s="23" t="str">
        <x:v>No</x:v>
      </x:c>
      <x:c r="E7" s="23" t="str">
        <x:v>TRUE</x:v>
      </x:c>
    </x:row>
    <x:row r="8">
      <x:c r="A8" s="23" t="str">
        <x:v>Volt Sol</x:v>
      </x:c>
      <x:c r="B8" s="23" t="str">
        <x:v>Voltage magnitude initialization</x:v>
      </x:c>
      <x:c r="C8" s="23" t="str">
        <x:v>1.0 pu only as initial value if no measurement</x:v>
      </x:c>
      <x:c r="D8" s="23" t="str">
        <x:v>No</x:v>
      </x:c>
      <x:c r="E8" s="23" t="str">
        <x:v>1.0000</x:v>
      </x:c>
    </x:row>
    <x:row r="9">
      <x:c r="A9" s="23" t="str">
        <x:v>Angle Sol</x:v>
      </x:c>
      <x:c r="B9" s="23" t="str">
        <x:v>Voltage angle initialization</x:v>
      </x:c>
      <x:c r="C9" s="23" t="str">
        <x:v>0° only as reference/initialization</x:v>
      </x:c>
      <x:c r="D9" s="23" t="str">
        <x:v>No</x:v>
      </x:c>
      <x:c r="E9" s="23" t="str">
        <x:v>0.0000</x:v>
      </x:c>
    </x:row>
    <x:row r="10">
      <x:c r="A10" s="23" t="str">
        <x:v>kV Base</x:v>
      </x:c>
      <x:c r="B10" s="23" t="str">
        <x:v>Nominal bus voltage</x:v>
      </x:c>
      <x:c r="C10" s="23" t="str">
        <x:v>22/230/6.6/0.4 kV as applicable</x:v>
      </x:c>
      <x:c r="D10" s="23" t="str">
        <x:v>Yes</x:v>
      </x:c>
      <x:c r="E10" s="23" t="str">
        <x:v>6.6</x:v>
      </x:c>
    </x:row>
    <x:row r="11">
      <x:c r="A11" s="23" t="str">
        <x:v>kV Oper</x:v>
      </x:c>
      <x:c r="B11" s="23" t="str">
        <x:v>Operating voltage/setpoint</x:v>
      </x:c>
      <x:c r="C11" s="23" t="str">
        <x:v>Leave blank until operating condition is chosen; initial 1.0 pu corresponds to nominal</x:v>
      </x:c>
      <x:c r="D11" s="23" t="str">
        <x:v>Partial</x:v>
      </x:c>
      <x:c r="E11" s="23" t="str">
        <x:v>blank</x:v>
      </x:c>
    </x:row>
    <x:row r="12">
      <x:c r="A12" s="23" t="str">
        <x:v>pu Min / Max</x:v>
      </x:c>
      <x:c r="B12" s="23" t="str">
        <x:v>Operating voltage bounds</x:v>
      </x:c>
      <x:c r="C12" s="23" t="str">
        <x:v>Use project tolerances where explicitly stated</x:v>
      </x:c>
      <x:c r="D12" s="23" t="str">
        <x:v>Yes where stated</x:v>
      </x:c>
      <x:c r="E12" s="23" t="str">
        <x:v>0.95/1.05 at generator; 0.90/1.10 at 6.6/400 V</x:v>
      </x:c>
    </x:row>
    <x:row r="13">
      <x:c r="A13" s="23" t="str">
        <x:v>RQ01/XQ01/RQ00/XQ00</x:v>
      </x:c>
      <x:c r="B13" s="23" t="str">
        <x:v>Bus shunt sequence terms</x:v>
      </x:c>
      <x:c r="C13" s="23" t="str">
        <x:v>Blank unless actual shunt values exist</x:v>
      </x:c>
      <x:c r="D13" s="23" t="str">
        <x:v>No</x:v>
      </x:c>
      <x:c r="E13" s="23" t="str">
        <x:v>blank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24" customHeight="1">
      <x:c r="A1" s="5" t="str">
        <x:v>Bus Model Validation / Corrections</x:v>
      </x:c>
    </x:row>
    <x:row r="3" ht="36" customHeight="1">
      <x:c r="A3" s="22" t="str">
        <x:v>Check</x:v>
      </x:c>
      <x:c r="B3" s="22" t="str">
        <x:v>Conclusion</x:v>
      </x:c>
      <x:c r="C3" s="22" t="str">
        <x:v>Evidence</x:v>
      </x:c>
      <x:c r="D3" s="22" t="str">
        <x:v>Source</x:v>
      </x:c>
    </x:row>
    <x:row r="4">
      <x:c r="A4" s="23" t="str">
        <x:v>B230_1 / B230_2</x:v>
      </x:c>
      <x:c r="B4" s="23" t="str">
        <x:v>Valid separate GIS busbars</x:v>
      </x:c>
      <x:c r="C4" s="23" t="str">
        <x:v>BUS 1 and BUS 2 shown on G&amp;T drawing p.2</x:v>
      </x:c>
      <x:c r="D4" s="23" t="str">
        <x:v>S2 p.2</x:v>
      </x:c>
    </x:row>
    <x:row r="5">
      <x:c r="A5" s="23" t="str">
        <x:v>B22G</x:v>
      </x:c>
      <x:c r="B5" s="23" t="str">
        <x:v>Use 22-kV generator terminal / isolated phase busbars</x:v>
      </x:c>
      <x:c r="C5" s="23" t="str">
        <x:v>Generator nameplate 22 kV ±5%; G&amp;T SLD shows isolated phase busbars</x:v>
      </x:c>
      <x:c r="D5" s="23" t="str">
        <x:v>S4 p.2; S2 p.2</x:v>
      </x:c>
    </x:row>
    <x:row r="6">
      <x:c r="A6" s="23" t="str">
        <x:v>B6_9 from prior workbook</x:v>
      </x:c>
      <x:c r="B6" s="23" t="str">
        <x:v>Remove as a separate plant bus by default</x:v>
      </x:c>
      <x:c r="C6" s="23" t="str">
        <x:v>6.9 kV is UAT/GAT winding rating; the plant MV bus is 6.6 kV</x:v>
      </x:c>
      <x:c r="D6" s="23" t="str">
        <x:v>S7 p.4/p.14; S1 p.2</x:v>
      </x:c>
    </x:row>
    <x:row r="7">
      <x:c r="A7" s="23" t="str">
        <x:v>10BAT10</x:v>
      </x:c>
      <x:c r="B7" s="23" t="str">
        <x:v>Transformer, not bus</x:v>
      </x:c>
      <x:c r="C7" s="23" t="str">
        <x:v>Generator Step-Up Transformer equipment tag</x:v>
      </x:c>
      <x:c r="D7" s="23" t="str">
        <x:v>S5 p.3; S6 p.3</x:v>
      </x:c>
    </x:row>
    <x:row r="8">
      <x:c r="A8" s="23" t="str">
        <x:v>10BBT10</x:v>
      </x:c>
      <x:c r="B8" s="23" t="str">
        <x:v>Transformer, not bus</x:v>
      </x:c>
      <x:c r="C8" s="23" t="str">
        <x:v>Unit Auxiliary Transformer equipment tag</x:v>
      </x:c>
      <x:c r="D8" s="23" t="str">
        <x:v>S7 p.4</x:v>
      </x:c>
    </x:row>
    <x:row r="9">
      <x:c r="A9" s="23" t="str">
        <x:v>10BBT20</x:v>
      </x:c>
      <x:c r="B9" s="23" t="str">
        <x:v>Transformer, not bus</x:v>
      </x:c>
      <x:c r="C9" s="23" t="str">
        <x:v>Grid Auxiliary Transformer equipment tag</x:v>
      </x:c>
      <x:c r="D9" s="23" t="str">
        <x:v>S7 p.14</x:v>
      </x:c>
    </x:row>
    <x:row r="10">
      <x:c r="A10" s="23" t="str">
        <x:v>0.9/1.1 at all buses</x:v>
      </x:c>
      <x:c r="B10" s="23" t="str">
        <x:v>Not universally source-confirmed</x:v>
      </x:c>
      <x:c r="C10" s="23" t="str">
        <x:v>Generator has ±5%; 6.6/400 V have ±10%; 230-kV operating tolerance not stated</x:v>
      </x:c>
      <x:c r="D10" s="23" t="str">
        <x:v>S1 p.1; S4 p.2</x:v>
      </x:c>
    </x:row>
    <x:row r="11">
      <x:c r="A11" s="23" t="str">
        <x:v>1.0 pu / 0°</x:v>
      </x:c>
      <x:c r="B11" s="23" t="str">
        <x:v>Initialization only</x:v>
      </x:c>
      <x:c r="C11" s="23" t="str">
        <x:v>No measured solved bus voltage/angle supplied</x:v>
      </x:c>
      <x:c r="D11" s="23" t="str">
        <x:v>PSAF model setup</x:v>
      </x:c>
    </x:row>
  </x:sheetData>
  <x:mergeCells>
    <x:mergeCell ref="A1:D1"/>
  </x:mergeCells>
  <x:pageMargins left="0.7" right="0.7" top="0.75" bottom="0.75" header="0.3" footer="0.3"/>
</x:worksheet>
</file>